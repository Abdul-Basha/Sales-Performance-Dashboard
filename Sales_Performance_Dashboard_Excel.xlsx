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bdul\OneDrive\Desktop\Excel resuorces\"/>
    </mc:Choice>
  </mc:AlternateContent>
  <xr:revisionPtr revIDLastSave="0" documentId="13_ncr:1_{88B3925D-E797-4FA6-9870-2F2C52E02B79}" xr6:coauthVersionLast="47" xr6:coauthVersionMax="47" xr10:uidLastSave="{00000000-0000-0000-0000-000000000000}"/>
  <bookViews>
    <workbookView xWindow="-108" yWindow="-108" windowWidth="23256" windowHeight="12456" activeTab="1" xr2:uid="{00000000-000D-0000-FFFF-FFFF00000000}"/>
  </bookViews>
  <sheets>
    <sheet name="Instructions" sheetId="1" r:id="rId1"/>
    <sheet name="Orders" sheetId="2" r:id="rId2"/>
    <sheet name="Products" sheetId="3" r:id="rId3"/>
    <sheet name="Customers" sheetId="4" r:id="rId4"/>
    <sheet name="Commission" sheetId="5" r:id="rId5"/>
    <sheet name="Summary" sheetId="6" r:id="rId6"/>
    <sheet name="Column Chart" sheetId="8" r:id="rId7"/>
    <sheet name="Top 5 Sales" sheetId="10" r:id="rId8"/>
    <sheet name="Line Chart" sheetId="9" r:id="rId9"/>
    <sheet name="DashBoard" sheetId="13" r:id="rId10"/>
  </sheets>
  <definedNames>
    <definedName name="_xlcn.WorksheetConnection_OrdersA1W2011" hidden="1">Orders!$A$1:$W$201</definedName>
    <definedName name="Slicer_ProductName">#N/A</definedName>
    <definedName name="Slicer_Region_Clean">#N/A</definedName>
  </definedNames>
  <calcPr calcId="191029"/>
  <pivotCaches>
    <pivotCache cacheId="66" r:id="rId11"/>
    <pivotCache cacheId="75" r:id="rId12"/>
  </pivotCaches>
  <extLst>
    <ext xmlns:x14="http://schemas.microsoft.com/office/spreadsheetml/2009/9/main" uri="{876F7934-8845-4945-9796-88D515C7AA90}">
      <x14:pivotCaches>
        <pivotCache cacheId="23" r:id="rId13"/>
      </x14:pivotCaches>
    </ex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Orders!$A$1:$W$20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6" l="1"/>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Q2" i="2"/>
  <c r="K69" i="2"/>
  <c r="K177" i="2"/>
  <c r="K89" i="2"/>
  <c r="K188" i="2"/>
  <c r="K55" i="2"/>
  <c r="K189" i="2"/>
  <c r="K56" i="2"/>
  <c r="K33" i="2"/>
  <c r="K159" i="2"/>
  <c r="K34" i="2"/>
  <c r="K128" i="2"/>
  <c r="K137" i="2"/>
  <c r="K24" i="2"/>
  <c r="K147" i="2"/>
  <c r="K81" i="2"/>
  <c r="K57" i="2"/>
  <c r="K14" i="2"/>
  <c r="K143" i="2"/>
  <c r="K155" i="2"/>
  <c r="K133" i="2"/>
  <c r="K181" i="2"/>
  <c r="K156" i="2"/>
  <c r="K50" i="2"/>
  <c r="K138" i="2"/>
  <c r="K2" i="2"/>
  <c r="K134" i="2"/>
  <c r="K75" i="2"/>
  <c r="K163" i="2"/>
  <c r="K178" i="2"/>
  <c r="K15" i="2"/>
  <c r="K42" i="2"/>
  <c r="K192" i="2"/>
  <c r="K102" i="2"/>
  <c r="K171" i="2"/>
  <c r="K135" i="2"/>
  <c r="K51" i="2"/>
  <c r="K148" i="2"/>
  <c r="K129" i="2"/>
  <c r="K90" i="2"/>
  <c r="K25" i="2"/>
  <c r="K193" i="2"/>
  <c r="K91" i="2"/>
  <c r="K70" i="2"/>
  <c r="K9" i="2"/>
  <c r="K157" i="2"/>
  <c r="K149" i="2"/>
  <c r="K182" i="2"/>
  <c r="K150" i="2"/>
  <c r="K116" i="2"/>
  <c r="K71" i="2"/>
  <c r="K194" i="2"/>
  <c r="K26" i="2"/>
  <c r="K27" i="2"/>
  <c r="K123" i="2"/>
  <c r="K151" i="2"/>
  <c r="K183" i="2"/>
  <c r="K28" i="2"/>
  <c r="K92" i="2"/>
  <c r="K66" i="2"/>
  <c r="K52" i="2"/>
  <c r="K97" i="2"/>
  <c r="K38" i="2"/>
  <c r="K67" i="2"/>
  <c r="K59" i="2"/>
  <c r="K60" i="2"/>
  <c r="K39" i="2"/>
  <c r="K124" i="2"/>
  <c r="K172" i="2"/>
  <c r="K164" i="2"/>
  <c r="K47" i="2"/>
  <c r="K19" i="2"/>
  <c r="K195" i="2"/>
  <c r="K160" i="2"/>
  <c r="K184" i="2"/>
  <c r="K161" i="2"/>
  <c r="K196" i="2"/>
  <c r="K16" i="2"/>
  <c r="K86" i="2"/>
  <c r="K10" i="2"/>
  <c r="K103" i="2"/>
  <c r="K125" i="2"/>
  <c r="K117" i="2"/>
  <c r="K73" i="2"/>
  <c r="K179" i="2"/>
  <c r="K43" i="2"/>
  <c r="K93" i="2"/>
  <c r="K197" i="2"/>
  <c r="K198" i="2"/>
  <c r="K68" i="2"/>
  <c r="K87" i="2"/>
  <c r="K48" i="2"/>
  <c r="K40" i="2"/>
  <c r="K105" i="2"/>
  <c r="K61" i="2"/>
  <c r="K76" i="2"/>
  <c r="K144" i="2"/>
  <c r="K74" i="2"/>
  <c r="K62" i="2"/>
  <c r="K174" i="2"/>
  <c r="K77" i="2"/>
  <c r="K158" i="2"/>
  <c r="K118" i="2"/>
  <c r="K53" i="2"/>
  <c r="K162" i="2"/>
  <c r="K21" i="2"/>
  <c r="K4" i="2"/>
  <c r="K152" i="2"/>
  <c r="K11" i="2"/>
  <c r="K136" i="2"/>
  <c r="K173" i="2"/>
  <c r="K201" i="2"/>
  <c r="K112" i="2"/>
  <c r="K130" i="2"/>
  <c r="K131" i="2"/>
  <c r="K139" i="2"/>
  <c r="K22" i="2"/>
  <c r="K94" i="2"/>
  <c r="K82" i="2"/>
  <c r="K20" i="2"/>
  <c r="K140" i="2"/>
  <c r="K63" i="2"/>
  <c r="K175" i="2"/>
  <c r="K8" i="2"/>
  <c r="K109" i="2"/>
  <c r="K110" i="2"/>
  <c r="K106" i="2"/>
  <c r="K95" i="2"/>
  <c r="K5" i="2"/>
  <c r="K119" i="2"/>
  <c r="K165" i="2"/>
  <c r="K180" i="2"/>
  <c r="K185" i="2"/>
  <c r="K113" i="2"/>
  <c r="K166" i="2"/>
  <c r="K29" i="2"/>
  <c r="K120" i="2"/>
  <c r="K17" i="2"/>
  <c r="K44" i="2"/>
  <c r="K167" i="2"/>
  <c r="K114" i="2"/>
  <c r="K78" i="2"/>
  <c r="K98" i="2"/>
  <c r="K199" i="2"/>
  <c r="K35" i="2"/>
  <c r="K104" i="2"/>
  <c r="K79" i="2"/>
  <c r="K190" i="2"/>
  <c r="K83" i="2"/>
  <c r="K18" i="2"/>
  <c r="K64" i="2"/>
  <c r="K186" i="2"/>
  <c r="K168" i="2"/>
  <c r="K121" i="2"/>
  <c r="K49" i="2"/>
  <c r="K146" i="2"/>
  <c r="K141" i="2"/>
  <c r="K36" i="2"/>
  <c r="K153" i="2"/>
  <c r="K187" i="2"/>
  <c r="K72" i="2"/>
  <c r="K84" i="2"/>
  <c r="K45" i="2"/>
  <c r="K145" i="2"/>
  <c r="K65" i="2"/>
  <c r="K99" i="2"/>
  <c r="K100" i="2"/>
  <c r="K37" i="2"/>
  <c r="K154" i="2"/>
  <c r="K12" i="2"/>
  <c r="K23" i="2"/>
  <c r="K191" i="2"/>
  <c r="K169" i="2"/>
  <c r="K58" i="2"/>
  <c r="K111" i="2"/>
  <c r="K115" i="2"/>
  <c r="K132" i="2"/>
  <c r="K30" i="2"/>
  <c r="K88" i="2"/>
  <c r="K7" i="2"/>
  <c r="K122" i="2"/>
  <c r="K107" i="2"/>
  <c r="K101" i="2"/>
  <c r="K142" i="2"/>
  <c r="K126" i="2"/>
  <c r="K170" i="2"/>
  <c r="K41" i="2"/>
  <c r="K127" i="2"/>
  <c r="K31" i="2"/>
  <c r="K96" i="2"/>
  <c r="K108" i="2"/>
  <c r="K85" i="2"/>
  <c r="K176" i="2"/>
  <c r="K32" i="2"/>
  <c r="K3" i="2"/>
  <c r="K200" i="2"/>
  <c r="K80" i="2"/>
  <c r="K13" i="2"/>
  <c r="K46" i="2"/>
  <c r="K54" i="2"/>
  <c r="P6" i="2"/>
  <c r="P69" i="2"/>
  <c r="P177" i="2"/>
  <c r="P89" i="2"/>
  <c r="P188" i="2"/>
  <c r="P55" i="2"/>
  <c r="P189" i="2"/>
  <c r="P56" i="2"/>
  <c r="P33" i="2"/>
  <c r="P159" i="2"/>
  <c r="P34" i="2"/>
  <c r="P128" i="2"/>
  <c r="P137" i="2"/>
  <c r="P24" i="2"/>
  <c r="P147" i="2"/>
  <c r="P81" i="2"/>
  <c r="P57" i="2"/>
  <c r="P14" i="2"/>
  <c r="P143" i="2"/>
  <c r="P155" i="2"/>
  <c r="P133" i="2"/>
  <c r="P181" i="2"/>
  <c r="P156" i="2"/>
  <c r="P50" i="2"/>
  <c r="P138" i="2"/>
  <c r="P2" i="2"/>
  <c r="P134" i="2"/>
  <c r="P75" i="2"/>
  <c r="P163" i="2"/>
  <c r="P178" i="2"/>
  <c r="P15" i="2"/>
  <c r="P42" i="2"/>
  <c r="P192" i="2"/>
  <c r="P102" i="2"/>
  <c r="P171" i="2"/>
  <c r="P135" i="2"/>
  <c r="P51" i="2"/>
  <c r="P148" i="2"/>
  <c r="P129" i="2"/>
  <c r="P90" i="2"/>
  <c r="P25" i="2"/>
  <c r="P193" i="2"/>
  <c r="P91" i="2"/>
  <c r="P70" i="2"/>
  <c r="P9" i="2"/>
  <c r="P157" i="2"/>
  <c r="P149" i="2"/>
  <c r="P182" i="2"/>
  <c r="P150" i="2"/>
  <c r="P116" i="2"/>
  <c r="P71" i="2"/>
  <c r="P194" i="2"/>
  <c r="P26" i="2"/>
  <c r="P27" i="2"/>
  <c r="P123" i="2"/>
  <c r="P151" i="2"/>
  <c r="P183" i="2"/>
  <c r="P28" i="2"/>
  <c r="P92" i="2"/>
  <c r="P66" i="2"/>
  <c r="P52" i="2"/>
  <c r="P97" i="2"/>
  <c r="P38" i="2"/>
  <c r="P67" i="2"/>
  <c r="P59" i="2"/>
  <c r="P60" i="2"/>
  <c r="P39" i="2"/>
  <c r="P124" i="2"/>
  <c r="P172" i="2"/>
  <c r="P164" i="2"/>
  <c r="P47" i="2"/>
  <c r="P19" i="2"/>
  <c r="P195" i="2"/>
  <c r="P160" i="2"/>
  <c r="P184" i="2"/>
  <c r="P161" i="2"/>
  <c r="P196" i="2"/>
  <c r="P16" i="2"/>
  <c r="P86" i="2"/>
  <c r="P10" i="2"/>
  <c r="P103" i="2"/>
  <c r="P125" i="2"/>
  <c r="P117" i="2"/>
  <c r="P73" i="2"/>
  <c r="P179" i="2"/>
  <c r="P43" i="2"/>
  <c r="P93" i="2"/>
  <c r="P197" i="2"/>
  <c r="P198" i="2"/>
  <c r="P68" i="2"/>
  <c r="P87" i="2"/>
  <c r="P48" i="2"/>
  <c r="P40" i="2"/>
  <c r="P105" i="2"/>
  <c r="P61" i="2"/>
  <c r="P76" i="2"/>
  <c r="P144" i="2"/>
  <c r="P74" i="2"/>
  <c r="P62" i="2"/>
  <c r="P174" i="2"/>
  <c r="P77" i="2"/>
  <c r="P158" i="2"/>
  <c r="P118" i="2"/>
  <c r="P53" i="2"/>
  <c r="P162" i="2"/>
  <c r="P21" i="2"/>
  <c r="P4" i="2"/>
  <c r="P152" i="2"/>
  <c r="P11" i="2"/>
  <c r="P136" i="2"/>
  <c r="P173" i="2"/>
  <c r="P201" i="2"/>
  <c r="P112" i="2"/>
  <c r="P130" i="2"/>
  <c r="P131" i="2"/>
  <c r="P139" i="2"/>
  <c r="P22" i="2"/>
  <c r="P94" i="2"/>
  <c r="P82" i="2"/>
  <c r="P20" i="2"/>
  <c r="P140" i="2"/>
  <c r="P63" i="2"/>
  <c r="P175" i="2"/>
  <c r="P8" i="2"/>
  <c r="P109" i="2"/>
  <c r="P110" i="2"/>
  <c r="P106" i="2"/>
  <c r="P95" i="2"/>
  <c r="P5" i="2"/>
  <c r="P119" i="2"/>
  <c r="P165" i="2"/>
  <c r="P180" i="2"/>
  <c r="P185" i="2"/>
  <c r="P113" i="2"/>
  <c r="P166" i="2"/>
  <c r="P29" i="2"/>
  <c r="P120" i="2"/>
  <c r="P17" i="2"/>
  <c r="P44" i="2"/>
  <c r="P167" i="2"/>
  <c r="P114" i="2"/>
  <c r="P78" i="2"/>
  <c r="P98" i="2"/>
  <c r="P199" i="2"/>
  <c r="P35" i="2"/>
  <c r="P104" i="2"/>
  <c r="P79" i="2"/>
  <c r="P190" i="2"/>
  <c r="P83" i="2"/>
  <c r="P18" i="2"/>
  <c r="P64" i="2"/>
  <c r="P186" i="2"/>
  <c r="P168" i="2"/>
  <c r="P121" i="2"/>
  <c r="P49" i="2"/>
  <c r="P146" i="2"/>
  <c r="P141" i="2"/>
  <c r="P36" i="2"/>
  <c r="P153" i="2"/>
  <c r="P187" i="2"/>
  <c r="P72" i="2"/>
  <c r="P84" i="2"/>
  <c r="P45" i="2"/>
  <c r="P145" i="2"/>
  <c r="P65" i="2"/>
  <c r="P99" i="2"/>
  <c r="P100" i="2"/>
  <c r="P37" i="2"/>
  <c r="P154" i="2"/>
  <c r="P12" i="2"/>
  <c r="P23" i="2"/>
  <c r="P191" i="2"/>
  <c r="P169" i="2"/>
  <c r="P58" i="2"/>
  <c r="P111" i="2"/>
  <c r="P115" i="2"/>
  <c r="P132" i="2"/>
  <c r="P30" i="2"/>
  <c r="P88" i="2"/>
  <c r="P7" i="2"/>
  <c r="P122" i="2"/>
  <c r="P107" i="2"/>
  <c r="P101" i="2"/>
  <c r="P142" i="2"/>
  <c r="P126" i="2"/>
  <c r="P170" i="2"/>
  <c r="P41" i="2"/>
  <c r="P127" i="2"/>
  <c r="P31" i="2"/>
  <c r="P96" i="2"/>
  <c r="P108" i="2"/>
  <c r="P85" i="2"/>
  <c r="P176" i="2"/>
  <c r="P32" i="2"/>
  <c r="P3" i="2"/>
  <c r="P200" i="2"/>
  <c r="P80" i="2"/>
  <c r="P13" i="2"/>
  <c r="P46" i="2"/>
  <c r="P54" i="2"/>
  <c r="W131" i="2"/>
  <c r="W146" i="2"/>
  <c r="W113" i="2"/>
  <c r="W103" i="2"/>
  <c r="W166" i="2"/>
  <c r="W99" i="2"/>
  <c r="W29" i="2"/>
  <c r="W120" i="2"/>
  <c r="W170" i="2"/>
  <c r="W175" i="2"/>
  <c r="W139" i="2"/>
  <c r="W6" i="2"/>
  <c r="W104" i="2"/>
  <c r="W157" i="2"/>
  <c r="W100" i="2"/>
  <c r="W142" i="2"/>
  <c r="W77" i="2"/>
  <c r="W198" i="2"/>
  <c r="W172" i="2"/>
  <c r="W158" i="2"/>
  <c r="W41" i="2"/>
  <c r="W8" i="2"/>
  <c r="W127" i="2"/>
  <c r="W37" i="2"/>
  <c r="W164" i="2"/>
  <c r="W68" i="2"/>
  <c r="W67" i="2"/>
  <c r="W17" i="2"/>
  <c r="W34" i="2"/>
  <c r="W87" i="2"/>
  <c r="W79" i="2"/>
  <c r="W133" i="2"/>
  <c r="W22" i="2"/>
  <c r="W58" i="2"/>
  <c r="W151" i="2"/>
  <c r="W109" i="2"/>
  <c r="W48" i="2"/>
  <c r="W154" i="2"/>
  <c r="W118" i="2"/>
  <c r="W40" i="2"/>
  <c r="W181" i="2"/>
  <c r="W53" i="2"/>
  <c r="W31" i="2"/>
  <c r="W183" i="2"/>
  <c r="W47" i="2"/>
  <c r="W15" i="2"/>
  <c r="W59" i="2"/>
  <c r="W3" i="2"/>
  <c r="W44" i="2"/>
  <c r="W156" i="2"/>
  <c r="W149" i="2"/>
  <c r="W125" i="2"/>
  <c r="W167" i="2"/>
  <c r="W190" i="2"/>
  <c r="W28" i="2"/>
  <c r="W111" i="2"/>
  <c r="W19" i="2"/>
  <c r="W195" i="2"/>
  <c r="W128" i="2"/>
  <c r="W162" i="2"/>
  <c r="W182" i="2"/>
  <c r="W60" i="2"/>
  <c r="W115" i="2"/>
  <c r="W117" i="2"/>
  <c r="W150" i="2"/>
  <c r="W42" i="2"/>
  <c r="W192" i="2"/>
  <c r="W132" i="2"/>
  <c r="W21" i="2"/>
  <c r="W4" i="2"/>
  <c r="W160" i="2"/>
  <c r="W137" i="2"/>
  <c r="W12" i="2"/>
  <c r="W30" i="2"/>
  <c r="W141" i="2"/>
  <c r="W96" i="2"/>
  <c r="W24" i="2"/>
  <c r="W152" i="2"/>
  <c r="W50" i="2"/>
  <c r="W102" i="2"/>
  <c r="W69" i="2"/>
  <c r="W36" i="2"/>
  <c r="W147" i="2"/>
  <c r="W177" i="2"/>
  <c r="W116" i="2"/>
  <c r="W105" i="2"/>
  <c r="W200" i="2"/>
  <c r="W89" i="2"/>
  <c r="W108" i="2"/>
  <c r="W188" i="2"/>
  <c r="W153" i="2"/>
  <c r="W184" i="2"/>
  <c r="W81" i="2"/>
  <c r="W171" i="2"/>
  <c r="W138" i="2"/>
  <c r="W83" i="2"/>
  <c r="W80" i="2"/>
  <c r="W161" i="2"/>
  <c r="W73" i="2"/>
  <c r="W92" i="2"/>
  <c r="W18" i="2"/>
  <c r="W135" i="2"/>
  <c r="W23" i="2"/>
  <c r="W187" i="2"/>
  <c r="W88" i="2"/>
  <c r="W11" i="2"/>
  <c r="W64" i="2"/>
  <c r="W94" i="2"/>
  <c r="W51" i="2"/>
  <c r="W61" i="2"/>
  <c r="W72" i="2"/>
  <c r="W136" i="2"/>
  <c r="W13" i="2"/>
  <c r="W76" i="2"/>
  <c r="W7" i="2"/>
  <c r="W85" i="2"/>
  <c r="W148" i="2"/>
  <c r="W57" i="2"/>
  <c r="W173" i="2"/>
  <c r="W176" i="2"/>
  <c r="W144" i="2"/>
  <c r="W84" i="2"/>
  <c r="W129" i="2"/>
  <c r="W39" i="2"/>
  <c r="W82" i="2"/>
  <c r="W179" i="2"/>
  <c r="W196" i="2"/>
  <c r="W55" i="2"/>
  <c r="W114" i="2"/>
  <c r="W66" i="2"/>
  <c r="W46" i="2"/>
  <c r="W71" i="2"/>
  <c r="W189" i="2"/>
  <c r="W20" i="2"/>
  <c r="W74" i="2"/>
  <c r="W126" i="2"/>
  <c r="W110" i="2"/>
  <c r="W56" i="2"/>
  <c r="W186" i="2"/>
  <c r="W194" i="2"/>
  <c r="W62" i="2"/>
  <c r="W90" i="2"/>
  <c r="W2" i="2"/>
  <c r="W168" i="2"/>
  <c r="W33" i="2"/>
  <c r="W106" i="2"/>
  <c r="W45" i="2"/>
  <c r="W191" i="2"/>
  <c r="W14" i="2"/>
  <c r="W25" i="2"/>
  <c r="W134" i="2"/>
  <c r="W121" i="2"/>
  <c r="W78" i="2"/>
  <c r="W143" i="2"/>
  <c r="W124" i="2"/>
  <c r="W98" i="2"/>
  <c r="W140" i="2"/>
  <c r="W95" i="2"/>
  <c r="W193" i="2"/>
  <c r="W199" i="2"/>
  <c r="W54" i="2"/>
  <c r="W26" i="2"/>
  <c r="W52" i="2"/>
  <c r="W27" i="2"/>
  <c r="W5" i="2"/>
  <c r="W201" i="2"/>
  <c r="W32" i="2"/>
  <c r="W174" i="2"/>
  <c r="W112" i="2"/>
  <c r="W16" i="2"/>
  <c r="W119" i="2"/>
  <c r="W123" i="2"/>
  <c r="W91" i="2"/>
  <c r="W122" i="2"/>
  <c r="W75" i="2"/>
  <c r="W130" i="2"/>
  <c r="W97" i="2"/>
  <c r="W169" i="2"/>
  <c r="W86" i="2"/>
  <c r="W165" i="2"/>
  <c r="W159" i="2"/>
  <c r="W163" i="2"/>
  <c r="W38" i="2"/>
  <c r="W107" i="2"/>
  <c r="W43" i="2"/>
  <c r="W155" i="2"/>
  <c r="W145" i="2"/>
  <c r="W35" i="2"/>
  <c r="W65" i="2"/>
  <c r="W178" i="2"/>
  <c r="W63" i="2"/>
  <c r="W180" i="2"/>
  <c r="W70" i="2"/>
  <c r="W93" i="2"/>
  <c r="W10" i="2"/>
  <c r="W185" i="2"/>
  <c r="W101" i="2"/>
  <c r="W49" i="2"/>
  <c r="W197" i="2"/>
  <c r="W9" i="2"/>
  <c r="R2" i="2"/>
  <c r="L131" i="2"/>
  <c r="M131" i="2" s="1"/>
  <c r="L146" i="2"/>
  <c r="L113" i="2"/>
  <c r="M113" i="2" s="1"/>
  <c r="L103" i="2"/>
  <c r="M103" i="2" s="1"/>
  <c r="L166" i="2"/>
  <c r="M166" i="2" s="1"/>
  <c r="L99" i="2"/>
  <c r="L29" i="2"/>
  <c r="M29" i="2" s="1"/>
  <c r="L120" i="2"/>
  <c r="L170" i="2"/>
  <c r="L175" i="2"/>
  <c r="M175" i="2" s="1"/>
  <c r="L139" i="2"/>
  <c r="M139" i="2" s="1"/>
  <c r="L6" i="2"/>
  <c r="L104" i="2"/>
  <c r="M104" i="2" s="1"/>
  <c r="L157" i="2"/>
  <c r="M157" i="2" s="1"/>
  <c r="L100" i="2"/>
  <c r="L142" i="2"/>
  <c r="L77" i="2"/>
  <c r="L198" i="2"/>
  <c r="M198" i="2" s="1"/>
  <c r="L172" i="2"/>
  <c r="M172" i="2" s="1"/>
  <c r="L158" i="2"/>
  <c r="L41" i="2"/>
  <c r="L8" i="2"/>
  <c r="M8" i="2" s="1"/>
  <c r="L127" i="2"/>
  <c r="L37" i="2"/>
  <c r="L164" i="2"/>
  <c r="M164" i="2" s="1"/>
  <c r="L68" i="2"/>
  <c r="M68" i="2" s="1"/>
  <c r="L67" i="2"/>
  <c r="L17" i="2"/>
  <c r="L34" i="2"/>
  <c r="L87" i="2"/>
  <c r="L79" i="2"/>
  <c r="L133" i="2"/>
  <c r="L22" i="2"/>
  <c r="L58" i="2"/>
  <c r="L151" i="2"/>
  <c r="L109" i="2"/>
  <c r="L48" i="2"/>
  <c r="L154" i="2"/>
  <c r="L118" i="2"/>
  <c r="L40" i="2"/>
  <c r="L181" i="2"/>
  <c r="L53" i="2"/>
  <c r="L31" i="2"/>
  <c r="L183" i="2"/>
  <c r="L47" i="2"/>
  <c r="L15" i="2"/>
  <c r="L59" i="2"/>
  <c r="L3" i="2"/>
  <c r="L44" i="2"/>
  <c r="L156" i="2"/>
  <c r="L149" i="2"/>
  <c r="L125" i="2"/>
  <c r="L167" i="2"/>
  <c r="L190" i="2"/>
  <c r="L28" i="2"/>
  <c r="L111" i="2"/>
  <c r="L19" i="2"/>
  <c r="L195" i="2"/>
  <c r="L128" i="2"/>
  <c r="L162" i="2"/>
  <c r="L182" i="2"/>
  <c r="L60" i="2"/>
  <c r="L115" i="2"/>
  <c r="L117" i="2"/>
  <c r="L150" i="2"/>
  <c r="L42" i="2"/>
  <c r="L192" i="2"/>
  <c r="L132" i="2"/>
  <c r="L21" i="2"/>
  <c r="L4" i="2"/>
  <c r="L160" i="2"/>
  <c r="L137" i="2"/>
  <c r="L12" i="2"/>
  <c r="L30" i="2"/>
  <c r="L141" i="2"/>
  <c r="L96" i="2"/>
  <c r="L24" i="2"/>
  <c r="L152" i="2"/>
  <c r="L50" i="2"/>
  <c r="L102" i="2"/>
  <c r="L69" i="2"/>
  <c r="L36" i="2"/>
  <c r="L147" i="2"/>
  <c r="L177" i="2"/>
  <c r="L116" i="2"/>
  <c r="L105" i="2"/>
  <c r="L200" i="2"/>
  <c r="L89" i="2"/>
  <c r="L108" i="2"/>
  <c r="L188" i="2"/>
  <c r="L153" i="2"/>
  <c r="L184" i="2"/>
  <c r="L81" i="2"/>
  <c r="L171" i="2"/>
  <c r="L138" i="2"/>
  <c r="L83" i="2"/>
  <c r="L80" i="2"/>
  <c r="L161" i="2"/>
  <c r="L73" i="2"/>
  <c r="L92" i="2"/>
  <c r="L18" i="2"/>
  <c r="L135" i="2"/>
  <c r="L23" i="2"/>
  <c r="L187" i="2"/>
  <c r="L88" i="2"/>
  <c r="L11" i="2"/>
  <c r="L64" i="2"/>
  <c r="L94" i="2"/>
  <c r="L51" i="2"/>
  <c r="L61" i="2"/>
  <c r="L72" i="2"/>
  <c r="L136" i="2"/>
  <c r="L13" i="2"/>
  <c r="L76" i="2"/>
  <c r="L7" i="2"/>
  <c r="L85" i="2"/>
  <c r="L148" i="2"/>
  <c r="L57" i="2"/>
  <c r="L173" i="2"/>
  <c r="L176" i="2"/>
  <c r="L144" i="2"/>
  <c r="L84" i="2"/>
  <c r="L129" i="2"/>
  <c r="L39" i="2"/>
  <c r="L82" i="2"/>
  <c r="L179" i="2"/>
  <c r="L196" i="2"/>
  <c r="L55" i="2"/>
  <c r="L114" i="2"/>
  <c r="L66" i="2"/>
  <c r="L46" i="2"/>
  <c r="L71" i="2"/>
  <c r="L189" i="2"/>
  <c r="L20" i="2"/>
  <c r="L74" i="2"/>
  <c r="L126" i="2"/>
  <c r="L110" i="2"/>
  <c r="L56" i="2"/>
  <c r="L186" i="2"/>
  <c r="L194" i="2"/>
  <c r="L62" i="2"/>
  <c r="L90" i="2"/>
  <c r="L2" i="2"/>
  <c r="L168" i="2"/>
  <c r="L33" i="2"/>
  <c r="L106" i="2"/>
  <c r="L45" i="2"/>
  <c r="L191" i="2"/>
  <c r="L14" i="2"/>
  <c r="L25" i="2"/>
  <c r="L134" i="2"/>
  <c r="L121" i="2"/>
  <c r="L78" i="2"/>
  <c r="L143" i="2"/>
  <c r="L124" i="2"/>
  <c r="L98" i="2"/>
  <c r="L140" i="2"/>
  <c r="L95" i="2"/>
  <c r="L193" i="2"/>
  <c r="L199" i="2"/>
  <c r="L54" i="2"/>
  <c r="L26" i="2"/>
  <c r="L52" i="2"/>
  <c r="L27" i="2"/>
  <c r="L5" i="2"/>
  <c r="L201" i="2"/>
  <c r="L32" i="2"/>
  <c r="L174" i="2"/>
  <c r="L112" i="2"/>
  <c r="L16" i="2"/>
  <c r="L119" i="2"/>
  <c r="L123" i="2"/>
  <c r="L91" i="2"/>
  <c r="L122" i="2"/>
  <c r="L75" i="2"/>
  <c r="L130" i="2"/>
  <c r="L97" i="2"/>
  <c r="L169" i="2"/>
  <c r="L86" i="2"/>
  <c r="L165" i="2"/>
  <c r="L159" i="2"/>
  <c r="L163" i="2"/>
  <c r="L38" i="2"/>
  <c r="L107" i="2"/>
  <c r="L43" i="2"/>
  <c r="L155" i="2"/>
  <c r="L145" i="2"/>
  <c r="L35" i="2"/>
  <c r="L65" i="2"/>
  <c r="L178" i="2"/>
  <c r="L63" i="2"/>
  <c r="L180" i="2"/>
  <c r="L70" i="2"/>
  <c r="L93" i="2"/>
  <c r="L10" i="2"/>
  <c r="L185" i="2"/>
  <c r="L101" i="2"/>
  <c r="L49" i="2"/>
  <c r="L197" i="2"/>
  <c r="L9" i="2"/>
  <c r="K6" i="2"/>
  <c r="J9" i="2"/>
  <c r="J131" i="2"/>
  <c r="J146" i="2"/>
  <c r="J113" i="2"/>
  <c r="J103" i="2"/>
  <c r="J166" i="2"/>
  <c r="J99" i="2"/>
  <c r="J29" i="2"/>
  <c r="J120" i="2"/>
  <c r="J170" i="2"/>
  <c r="J175" i="2"/>
  <c r="J139" i="2"/>
  <c r="J6" i="2"/>
  <c r="J104" i="2"/>
  <c r="J157" i="2"/>
  <c r="J100" i="2"/>
  <c r="J142" i="2"/>
  <c r="J77" i="2"/>
  <c r="J198" i="2"/>
  <c r="J172" i="2"/>
  <c r="J158" i="2"/>
  <c r="J41" i="2"/>
  <c r="J8" i="2"/>
  <c r="J127" i="2"/>
  <c r="J37" i="2"/>
  <c r="J164" i="2"/>
  <c r="J68" i="2"/>
  <c r="J67" i="2"/>
  <c r="J17" i="2"/>
  <c r="J34" i="2"/>
  <c r="J87" i="2"/>
  <c r="J79" i="2"/>
  <c r="J133" i="2"/>
  <c r="J22" i="2"/>
  <c r="J58" i="2"/>
  <c r="J151" i="2"/>
  <c r="J109" i="2"/>
  <c r="J48" i="2"/>
  <c r="J154" i="2"/>
  <c r="J118" i="2"/>
  <c r="J40" i="2"/>
  <c r="J181" i="2"/>
  <c r="J53" i="2"/>
  <c r="J31" i="2"/>
  <c r="J183" i="2"/>
  <c r="J47" i="2"/>
  <c r="J15" i="2"/>
  <c r="J59" i="2"/>
  <c r="J3" i="2"/>
  <c r="J44" i="2"/>
  <c r="J156" i="2"/>
  <c r="J149" i="2"/>
  <c r="J125" i="2"/>
  <c r="J167" i="2"/>
  <c r="J190" i="2"/>
  <c r="J28" i="2"/>
  <c r="J111" i="2"/>
  <c r="J19" i="2"/>
  <c r="J195" i="2"/>
  <c r="J128" i="2"/>
  <c r="J162" i="2"/>
  <c r="J182" i="2"/>
  <c r="J60" i="2"/>
  <c r="J115" i="2"/>
  <c r="J117" i="2"/>
  <c r="J150" i="2"/>
  <c r="J42" i="2"/>
  <c r="J192" i="2"/>
  <c r="J132" i="2"/>
  <c r="J21" i="2"/>
  <c r="J4" i="2"/>
  <c r="J160" i="2"/>
  <c r="J137" i="2"/>
  <c r="J12" i="2"/>
  <c r="J30" i="2"/>
  <c r="J141" i="2"/>
  <c r="J96" i="2"/>
  <c r="J24" i="2"/>
  <c r="J152" i="2"/>
  <c r="J50" i="2"/>
  <c r="J102" i="2"/>
  <c r="J69" i="2"/>
  <c r="J36" i="2"/>
  <c r="J147" i="2"/>
  <c r="J177" i="2"/>
  <c r="J116" i="2"/>
  <c r="J105" i="2"/>
  <c r="J200" i="2"/>
  <c r="J89" i="2"/>
  <c r="J108" i="2"/>
  <c r="J188" i="2"/>
  <c r="J153" i="2"/>
  <c r="J184" i="2"/>
  <c r="J81" i="2"/>
  <c r="J171" i="2"/>
  <c r="J138" i="2"/>
  <c r="J83" i="2"/>
  <c r="J80" i="2"/>
  <c r="J161" i="2"/>
  <c r="J73" i="2"/>
  <c r="J92" i="2"/>
  <c r="J18" i="2"/>
  <c r="J135" i="2"/>
  <c r="J23" i="2"/>
  <c r="J187" i="2"/>
  <c r="J88" i="2"/>
  <c r="J11" i="2"/>
  <c r="J64" i="2"/>
  <c r="J94" i="2"/>
  <c r="J51" i="2"/>
  <c r="J61" i="2"/>
  <c r="J72" i="2"/>
  <c r="J136" i="2"/>
  <c r="J13" i="2"/>
  <c r="J76" i="2"/>
  <c r="J7" i="2"/>
  <c r="J85" i="2"/>
  <c r="J148" i="2"/>
  <c r="J57" i="2"/>
  <c r="J173" i="2"/>
  <c r="J176" i="2"/>
  <c r="J144" i="2"/>
  <c r="J84" i="2"/>
  <c r="J129" i="2"/>
  <c r="J39" i="2"/>
  <c r="J82" i="2"/>
  <c r="J179" i="2"/>
  <c r="J196" i="2"/>
  <c r="J55" i="2"/>
  <c r="J114" i="2"/>
  <c r="J66" i="2"/>
  <c r="J46" i="2"/>
  <c r="J71" i="2"/>
  <c r="J189" i="2"/>
  <c r="J20" i="2"/>
  <c r="J74" i="2"/>
  <c r="J126" i="2"/>
  <c r="J110" i="2"/>
  <c r="J56" i="2"/>
  <c r="J186" i="2"/>
  <c r="J194" i="2"/>
  <c r="J62" i="2"/>
  <c r="J90" i="2"/>
  <c r="J2" i="2"/>
  <c r="J168" i="2"/>
  <c r="J33" i="2"/>
  <c r="J106" i="2"/>
  <c r="J45" i="2"/>
  <c r="J191" i="2"/>
  <c r="J14" i="2"/>
  <c r="J25" i="2"/>
  <c r="J134" i="2"/>
  <c r="J121" i="2"/>
  <c r="J78" i="2"/>
  <c r="J143" i="2"/>
  <c r="J124" i="2"/>
  <c r="J98" i="2"/>
  <c r="J140" i="2"/>
  <c r="J95" i="2"/>
  <c r="J193" i="2"/>
  <c r="J199" i="2"/>
  <c r="J54" i="2"/>
  <c r="J26" i="2"/>
  <c r="J52" i="2"/>
  <c r="J27" i="2"/>
  <c r="J5" i="2"/>
  <c r="J201" i="2"/>
  <c r="J32" i="2"/>
  <c r="J174" i="2"/>
  <c r="J112" i="2"/>
  <c r="J16" i="2"/>
  <c r="J119" i="2"/>
  <c r="J123" i="2"/>
  <c r="J91" i="2"/>
  <c r="J122" i="2"/>
  <c r="J75" i="2"/>
  <c r="J130" i="2"/>
  <c r="J97" i="2"/>
  <c r="J169" i="2"/>
  <c r="J86" i="2"/>
  <c r="J165" i="2"/>
  <c r="J159" i="2"/>
  <c r="J163" i="2"/>
  <c r="J38" i="2"/>
  <c r="J107" i="2"/>
  <c r="J43" i="2"/>
  <c r="J155" i="2"/>
  <c r="J145" i="2"/>
  <c r="J35" i="2"/>
  <c r="J65" i="2"/>
  <c r="J178" i="2"/>
  <c r="J63" i="2"/>
  <c r="J180" i="2"/>
  <c r="J70" i="2"/>
  <c r="J93" i="2"/>
  <c r="J10" i="2"/>
  <c r="J185" i="2"/>
  <c r="J101" i="2"/>
  <c r="J49" i="2"/>
  <c r="J197" i="2"/>
  <c r="M146" i="2" l="1"/>
  <c r="N146" i="2"/>
  <c r="O99" i="2"/>
  <c r="Q99" i="2" s="1"/>
  <c r="M99" i="2"/>
  <c r="N99" i="2"/>
  <c r="O170" i="2"/>
  <c r="Q170" i="2" s="1"/>
  <c r="N170" i="2"/>
  <c r="M170" i="2"/>
  <c r="O6" i="2"/>
  <c r="Q6" i="2" s="1"/>
  <c r="M6" i="2"/>
  <c r="N6" i="2"/>
  <c r="O100" i="2"/>
  <c r="Q100" i="2" s="1"/>
  <c r="N100" i="2"/>
  <c r="M100" i="2"/>
  <c r="O142" i="2"/>
  <c r="Q142" i="2" s="1"/>
  <c r="N142" i="2"/>
  <c r="M142" i="2"/>
  <c r="O77" i="2"/>
  <c r="Q77" i="2" s="1"/>
  <c r="M77" i="2"/>
  <c r="N77" i="2"/>
  <c r="O158" i="2"/>
  <c r="Q158" i="2" s="1"/>
  <c r="M158" i="2"/>
  <c r="N158" i="2"/>
  <c r="O41" i="2"/>
  <c r="Q41" i="2" s="1"/>
  <c r="M41" i="2"/>
  <c r="N41" i="2"/>
  <c r="O127" i="2"/>
  <c r="Q127" i="2" s="1"/>
  <c r="N127" i="2"/>
  <c r="M127" i="2"/>
  <c r="O37" i="2"/>
  <c r="Q37" i="2" s="1"/>
  <c r="M37" i="2"/>
  <c r="N37" i="2"/>
  <c r="O67" i="2"/>
  <c r="Q67" i="2" s="1"/>
  <c r="M67" i="2"/>
  <c r="N67" i="2"/>
  <c r="O17" i="2"/>
  <c r="Q17" i="2" s="1"/>
  <c r="N17" i="2"/>
  <c r="M17" i="2"/>
  <c r="O34" i="2"/>
  <c r="Q34" i="2" s="1"/>
  <c r="M34" i="2"/>
  <c r="N34" i="2"/>
  <c r="O87" i="2"/>
  <c r="Q87" i="2" s="1"/>
  <c r="N87" i="2"/>
  <c r="M87" i="2"/>
  <c r="M79" i="2"/>
  <c r="N79" i="2"/>
  <c r="O79" i="2"/>
  <c r="Q79" i="2" s="1"/>
  <c r="M133" i="2"/>
  <c r="O133" i="2"/>
  <c r="Q133" i="2" s="1"/>
  <c r="N133" i="2"/>
  <c r="N22" i="2"/>
  <c r="O22" i="2"/>
  <c r="Q22" i="2" s="1"/>
  <c r="M22" i="2"/>
  <c r="O58" i="2"/>
  <c r="Q58" i="2" s="1"/>
  <c r="M58" i="2"/>
  <c r="N58" i="2"/>
  <c r="O151" i="2"/>
  <c r="Q151" i="2" s="1"/>
  <c r="M151" i="2"/>
  <c r="N151" i="2"/>
  <c r="M109" i="2"/>
  <c r="O109" i="2"/>
  <c r="Q109" i="2" s="1"/>
  <c r="N109" i="2"/>
  <c r="M48" i="2"/>
  <c r="O48" i="2"/>
  <c r="Q48" i="2" s="1"/>
  <c r="N48" i="2"/>
  <c r="O154" i="2"/>
  <c r="Q154" i="2" s="1"/>
  <c r="M154" i="2"/>
  <c r="N154" i="2"/>
  <c r="M118" i="2"/>
  <c r="N118" i="2"/>
  <c r="O118" i="2"/>
  <c r="Q118" i="2" s="1"/>
  <c r="M40" i="2"/>
  <c r="N40" i="2"/>
  <c r="O40" i="2"/>
  <c r="Q40" i="2" s="1"/>
  <c r="M181" i="2"/>
  <c r="N181" i="2"/>
  <c r="O181" i="2"/>
  <c r="Q181" i="2" s="1"/>
  <c r="N53" i="2"/>
  <c r="M53" i="2"/>
  <c r="O53" i="2"/>
  <c r="Q53" i="2" s="1"/>
  <c r="M31" i="2"/>
  <c r="N31" i="2"/>
  <c r="O31" i="2"/>
  <c r="Q31" i="2" s="1"/>
  <c r="N183" i="2"/>
  <c r="O183" i="2"/>
  <c r="Q183" i="2" s="1"/>
  <c r="M183" i="2"/>
  <c r="N47" i="2"/>
  <c r="O47" i="2"/>
  <c r="Q47" i="2" s="1"/>
  <c r="M47" i="2"/>
  <c r="N15" i="2"/>
  <c r="O15" i="2"/>
  <c r="Q15" i="2" s="1"/>
  <c r="M15" i="2"/>
  <c r="M59" i="2"/>
  <c r="N59" i="2"/>
  <c r="O59" i="2"/>
  <c r="Q59" i="2" s="1"/>
  <c r="O3" i="2"/>
  <c r="Q3" i="2" s="1"/>
  <c r="M3" i="2"/>
  <c r="N3" i="2"/>
  <c r="M44" i="2"/>
  <c r="N44" i="2"/>
  <c r="O44" i="2"/>
  <c r="Q44" i="2" s="1"/>
  <c r="O156" i="2"/>
  <c r="Q156" i="2" s="1"/>
  <c r="M156" i="2"/>
  <c r="N156" i="2"/>
  <c r="M149" i="2"/>
  <c r="O149" i="2"/>
  <c r="Q149" i="2" s="1"/>
  <c r="N149" i="2"/>
  <c r="N125" i="2"/>
  <c r="O125" i="2"/>
  <c r="Q125" i="2" s="1"/>
  <c r="M125" i="2"/>
  <c r="M167" i="2"/>
  <c r="N167" i="2"/>
  <c r="O167" i="2"/>
  <c r="Q167" i="2" s="1"/>
  <c r="N190" i="2"/>
  <c r="M190" i="2"/>
  <c r="O190" i="2"/>
  <c r="Q190" i="2" s="1"/>
  <c r="O28" i="2"/>
  <c r="Q28" i="2" s="1"/>
  <c r="N28" i="2"/>
  <c r="M28" i="2"/>
  <c r="N111" i="2"/>
  <c r="M111" i="2"/>
  <c r="O111" i="2"/>
  <c r="Q111" i="2" s="1"/>
  <c r="O19" i="2"/>
  <c r="Q19" i="2" s="1"/>
  <c r="N19" i="2"/>
  <c r="M19" i="2"/>
  <c r="M195" i="2"/>
  <c r="O195" i="2"/>
  <c r="Q195" i="2" s="1"/>
  <c r="N195" i="2"/>
  <c r="M128" i="2"/>
  <c r="N128" i="2"/>
  <c r="O128" i="2"/>
  <c r="Q128" i="2" s="1"/>
  <c r="N162" i="2"/>
  <c r="M162" i="2"/>
  <c r="O162" i="2"/>
  <c r="Q162" i="2" s="1"/>
  <c r="M182" i="2"/>
  <c r="N182" i="2"/>
  <c r="M60" i="2"/>
  <c r="N60" i="2"/>
  <c r="M115" i="2"/>
  <c r="N115" i="2"/>
  <c r="M117" i="2"/>
  <c r="N117" i="2"/>
  <c r="M150" i="2"/>
  <c r="N150" i="2"/>
  <c r="N42" i="2"/>
  <c r="M42" i="2"/>
  <c r="N192" i="2"/>
  <c r="M192" i="2"/>
  <c r="M132" i="2"/>
  <c r="N132" i="2"/>
  <c r="M21" i="2"/>
  <c r="N21" i="2"/>
  <c r="N4" i="2"/>
  <c r="M4" i="2"/>
  <c r="N160" i="2"/>
  <c r="M160" i="2"/>
  <c r="N137" i="2"/>
  <c r="M137" i="2"/>
  <c r="M12" i="2"/>
  <c r="N12" i="2"/>
  <c r="M30" i="2"/>
  <c r="N30" i="2"/>
  <c r="M141" i="2"/>
  <c r="N141" i="2"/>
  <c r="M96" i="2"/>
  <c r="N96" i="2"/>
  <c r="M24" i="2"/>
  <c r="N24" i="2"/>
  <c r="N152" i="2"/>
  <c r="M152" i="2"/>
  <c r="N50" i="2"/>
  <c r="M50" i="2"/>
  <c r="M102" i="2"/>
  <c r="N102" i="2"/>
  <c r="N69" i="2"/>
  <c r="M69" i="2"/>
  <c r="N36" i="2"/>
  <c r="M36" i="2"/>
  <c r="N147" i="2"/>
  <c r="M147" i="2"/>
  <c r="N177" i="2"/>
  <c r="M177" i="2"/>
  <c r="M116" i="2"/>
  <c r="N116" i="2"/>
  <c r="N105" i="2"/>
  <c r="M105" i="2"/>
  <c r="M200" i="2"/>
  <c r="N200" i="2"/>
  <c r="M89" i="2"/>
  <c r="N89" i="2"/>
  <c r="N108" i="2"/>
  <c r="M108" i="2"/>
  <c r="N188" i="2"/>
  <c r="M188" i="2"/>
  <c r="M153" i="2"/>
  <c r="N153" i="2"/>
  <c r="M184" i="2"/>
  <c r="N184" i="2"/>
  <c r="M81" i="2"/>
  <c r="N81" i="2"/>
  <c r="N171" i="2"/>
  <c r="M171" i="2"/>
  <c r="M138" i="2"/>
  <c r="N138" i="2"/>
  <c r="N83" i="2"/>
  <c r="M83" i="2"/>
  <c r="M80" i="2"/>
  <c r="N80" i="2"/>
  <c r="N161" i="2"/>
  <c r="M161" i="2"/>
  <c r="M73" i="2"/>
  <c r="N73" i="2"/>
  <c r="N92" i="2"/>
  <c r="M92" i="2"/>
  <c r="M18" i="2"/>
  <c r="N18" i="2"/>
  <c r="N135" i="2"/>
  <c r="M135" i="2"/>
  <c r="M23" i="2"/>
  <c r="N23" i="2"/>
  <c r="N187" i="2"/>
  <c r="M187" i="2"/>
  <c r="M88" i="2"/>
  <c r="N88" i="2"/>
  <c r="M11" i="2"/>
  <c r="N11" i="2"/>
  <c r="M64" i="2"/>
  <c r="N64" i="2"/>
  <c r="M94" i="2"/>
  <c r="N94" i="2"/>
  <c r="M51" i="2"/>
  <c r="N51" i="2"/>
  <c r="M61" i="2"/>
  <c r="N61" i="2"/>
  <c r="M72" i="2"/>
  <c r="N72" i="2"/>
  <c r="M136" i="2"/>
  <c r="N136" i="2"/>
  <c r="N13" i="2"/>
  <c r="M13" i="2"/>
  <c r="N76" i="2"/>
  <c r="M76" i="2"/>
  <c r="M7" i="2"/>
  <c r="N7" i="2"/>
  <c r="M85" i="2"/>
  <c r="N85" i="2"/>
  <c r="M148" i="2"/>
  <c r="N148" i="2"/>
  <c r="N57" i="2"/>
  <c r="M57" i="2"/>
  <c r="N173" i="2"/>
  <c r="M173" i="2"/>
  <c r="N176" i="2"/>
  <c r="M176" i="2"/>
  <c r="N144" i="2"/>
  <c r="M144" i="2"/>
  <c r="M84" i="2"/>
  <c r="N84" i="2"/>
  <c r="N129" i="2"/>
  <c r="M129" i="2"/>
  <c r="M39" i="2"/>
  <c r="N39" i="2"/>
  <c r="M82" i="2"/>
  <c r="N82" i="2"/>
  <c r="N179" i="2"/>
  <c r="M179" i="2"/>
  <c r="N196" i="2"/>
  <c r="M196" i="2"/>
  <c r="M55" i="2"/>
  <c r="N55" i="2"/>
  <c r="M114" i="2"/>
  <c r="N114" i="2"/>
  <c r="N66" i="2"/>
  <c r="M66" i="2"/>
  <c r="M46" i="2"/>
  <c r="N46" i="2"/>
  <c r="M71" i="2"/>
  <c r="N71" i="2"/>
  <c r="N189" i="2"/>
  <c r="M189" i="2"/>
  <c r="N20" i="2"/>
  <c r="M20" i="2"/>
  <c r="M74" i="2"/>
  <c r="N74" i="2"/>
  <c r="M126" i="2"/>
  <c r="N126" i="2"/>
  <c r="M110" i="2"/>
  <c r="N110" i="2"/>
  <c r="M56" i="2"/>
  <c r="N56" i="2"/>
  <c r="N186" i="2"/>
  <c r="M186" i="2"/>
  <c r="M194" i="2"/>
  <c r="N194" i="2"/>
  <c r="N62" i="2"/>
  <c r="M62" i="2"/>
  <c r="M90" i="2"/>
  <c r="N90" i="2"/>
  <c r="N2" i="2"/>
  <c r="M2" i="2"/>
  <c r="N168" i="2"/>
  <c r="M168" i="2"/>
  <c r="N33" i="2"/>
  <c r="M33" i="2"/>
  <c r="M106" i="2"/>
  <c r="N106" i="2"/>
  <c r="M45" i="2"/>
  <c r="N45" i="2"/>
  <c r="N191" i="2"/>
  <c r="M191" i="2"/>
  <c r="M14" i="2"/>
  <c r="N14" i="2"/>
  <c r="M25" i="2"/>
  <c r="N25" i="2"/>
  <c r="N134" i="2"/>
  <c r="M134" i="2"/>
  <c r="M121" i="2"/>
  <c r="N121" i="2"/>
  <c r="M78" i="2"/>
  <c r="N78" i="2"/>
  <c r="M143" i="2"/>
  <c r="N143" i="2"/>
  <c r="N124" i="2"/>
  <c r="M124" i="2"/>
  <c r="M98" i="2"/>
  <c r="N98" i="2"/>
  <c r="M140" i="2"/>
  <c r="N140" i="2"/>
  <c r="M95" i="2"/>
  <c r="N95" i="2"/>
  <c r="N193" i="2"/>
  <c r="M193" i="2"/>
  <c r="N199" i="2"/>
  <c r="M199" i="2"/>
  <c r="N54" i="2"/>
  <c r="M54" i="2"/>
  <c r="N26" i="2"/>
  <c r="M26" i="2"/>
  <c r="N52" i="2"/>
  <c r="M52" i="2"/>
  <c r="M27" i="2"/>
  <c r="N27" i="2"/>
  <c r="N5" i="2"/>
  <c r="M5" i="2"/>
  <c r="M201" i="2"/>
  <c r="N201" i="2"/>
  <c r="M32" i="2"/>
  <c r="N32" i="2"/>
  <c r="M174" i="2"/>
  <c r="N174" i="2"/>
  <c r="M112" i="2"/>
  <c r="N112" i="2"/>
  <c r="N16" i="2"/>
  <c r="M16" i="2"/>
  <c r="N119" i="2"/>
  <c r="M119" i="2"/>
  <c r="M123" i="2"/>
  <c r="N123" i="2"/>
  <c r="N91" i="2"/>
  <c r="M91" i="2"/>
  <c r="N122" i="2"/>
  <c r="M122" i="2"/>
  <c r="M75" i="2"/>
  <c r="N75" i="2"/>
  <c r="N130" i="2"/>
  <c r="M130" i="2"/>
  <c r="N97" i="2"/>
  <c r="M97" i="2"/>
  <c r="M169" i="2"/>
  <c r="N169" i="2"/>
  <c r="N86" i="2"/>
  <c r="M86" i="2"/>
  <c r="N165" i="2"/>
  <c r="M165" i="2"/>
  <c r="N159" i="2"/>
  <c r="M159" i="2"/>
  <c r="M163" i="2"/>
  <c r="N163" i="2"/>
  <c r="M38" i="2"/>
  <c r="N38" i="2"/>
  <c r="N107" i="2"/>
  <c r="M107" i="2"/>
  <c r="N43" i="2"/>
  <c r="M43" i="2"/>
  <c r="M155" i="2"/>
  <c r="N155" i="2"/>
  <c r="M145" i="2"/>
  <c r="N145" i="2"/>
  <c r="N35" i="2"/>
  <c r="M35" i="2"/>
  <c r="M65" i="2"/>
  <c r="N65" i="2"/>
  <c r="N178" i="2"/>
  <c r="M178" i="2"/>
  <c r="N63" i="2"/>
  <c r="M63" i="2"/>
  <c r="N180" i="2"/>
  <c r="M180" i="2"/>
  <c r="M70" i="2"/>
  <c r="N70" i="2"/>
  <c r="M93" i="2"/>
  <c r="N93" i="2"/>
  <c r="M10" i="2"/>
  <c r="N10" i="2"/>
  <c r="N185" i="2"/>
  <c r="M185" i="2"/>
  <c r="N101" i="2"/>
  <c r="M101" i="2"/>
  <c r="M49" i="2"/>
  <c r="N49" i="2"/>
  <c r="N197" i="2"/>
  <c r="M197" i="2"/>
  <c r="M9" i="2"/>
  <c r="N9" i="2"/>
  <c r="N131" i="2"/>
  <c r="O131" i="2"/>
  <c r="Q131" i="2" s="1"/>
  <c r="N113" i="2"/>
  <c r="O113" i="2"/>
  <c r="Q113" i="2" s="1"/>
  <c r="N103" i="2"/>
  <c r="O103" i="2"/>
  <c r="Q103" i="2" s="1"/>
  <c r="N166" i="2"/>
  <c r="O166" i="2"/>
  <c r="Q166" i="2" s="1"/>
  <c r="O29" i="2"/>
  <c r="Q29" i="2" s="1"/>
  <c r="N29" i="2"/>
  <c r="M120" i="2"/>
  <c r="O120" i="2"/>
  <c r="Q120" i="2" s="1"/>
  <c r="N120" i="2"/>
  <c r="N175" i="2"/>
  <c r="O175" i="2"/>
  <c r="Q175" i="2" s="1"/>
  <c r="N139" i="2"/>
  <c r="O139" i="2"/>
  <c r="Q139" i="2" s="1"/>
  <c r="N104" i="2"/>
  <c r="O104" i="2"/>
  <c r="Q104" i="2" s="1"/>
  <c r="O157" i="2"/>
  <c r="Q157" i="2" s="1"/>
  <c r="N157" i="2"/>
  <c r="N198" i="2"/>
  <c r="O198" i="2"/>
  <c r="Q198" i="2" s="1"/>
  <c r="N172" i="2"/>
  <c r="O172" i="2"/>
  <c r="Q172" i="2" s="1"/>
  <c r="N8" i="2"/>
  <c r="O8" i="2"/>
  <c r="Q8" i="2" s="1"/>
  <c r="N164" i="2"/>
  <c r="O164" i="2"/>
  <c r="Q164" i="2" s="1"/>
  <c r="O68" i="2"/>
  <c r="Q68" i="2" s="1"/>
  <c r="N68" i="2"/>
  <c r="T131" i="2"/>
  <c r="U131" i="2" s="1"/>
  <c r="O146" i="2"/>
  <c r="Q146" i="2" s="1"/>
  <c r="O182" i="2"/>
  <c r="Q182" i="2" s="1"/>
  <c r="O60" i="2"/>
  <c r="Q60" i="2" s="1"/>
  <c r="O115" i="2"/>
  <c r="Q115" i="2" s="1"/>
  <c r="O117" i="2"/>
  <c r="Q117" i="2" s="1"/>
  <c r="O150" i="2"/>
  <c r="Q150" i="2" s="1"/>
  <c r="O42" i="2"/>
  <c r="Q42" i="2" s="1"/>
  <c r="O192" i="2"/>
  <c r="Q192" i="2" s="1"/>
  <c r="O132" i="2"/>
  <c r="Q132" i="2" s="1"/>
  <c r="O21" i="2"/>
  <c r="Q21" i="2" s="1"/>
  <c r="O4" i="2"/>
  <c r="Q4" i="2" s="1"/>
  <c r="O160" i="2"/>
  <c r="Q160" i="2" s="1"/>
  <c r="O137" i="2"/>
  <c r="Q137" i="2" s="1"/>
  <c r="O12" i="2"/>
  <c r="Q12" i="2" s="1"/>
  <c r="O30" i="2"/>
  <c r="Q30" i="2" s="1"/>
  <c r="O141" i="2"/>
  <c r="Q141" i="2" s="1"/>
  <c r="O96" i="2"/>
  <c r="Q96" i="2" s="1"/>
  <c r="O24" i="2"/>
  <c r="Q24" i="2" s="1"/>
  <c r="O152" i="2"/>
  <c r="Q152" i="2" s="1"/>
  <c r="O50" i="2"/>
  <c r="Q50" i="2" s="1"/>
  <c r="O102" i="2"/>
  <c r="Q102" i="2" s="1"/>
  <c r="O69" i="2"/>
  <c r="Q69" i="2" s="1"/>
  <c r="O36" i="2"/>
  <c r="Q36" i="2" s="1"/>
  <c r="O147" i="2"/>
  <c r="Q147" i="2" s="1"/>
  <c r="O177" i="2"/>
  <c r="Q177" i="2" s="1"/>
  <c r="O116" i="2"/>
  <c r="Q116" i="2" s="1"/>
  <c r="O105" i="2"/>
  <c r="Q105" i="2" s="1"/>
  <c r="O200" i="2"/>
  <c r="Q200" i="2" s="1"/>
  <c r="O89" i="2"/>
  <c r="Q89" i="2" s="1"/>
  <c r="O108" i="2"/>
  <c r="Q108" i="2" s="1"/>
  <c r="O188" i="2"/>
  <c r="Q188" i="2" s="1"/>
  <c r="O153" i="2"/>
  <c r="Q153" i="2" s="1"/>
  <c r="O184" i="2"/>
  <c r="Q184" i="2" s="1"/>
  <c r="O81" i="2"/>
  <c r="Q81" i="2" s="1"/>
  <c r="O171" i="2"/>
  <c r="Q171" i="2" s="1"/>
  <c r="O138" i="2"/>
  <c r="Q138" i="2" s="1"/>
  <c r="O83" i="2"/>
  <c r="Q83" i="2" s="1"/>
  <c r="O80" i="2"/>
  <c r="Q80" i="2" s="1"/>
  <c r="O161" i="2"/>
  <c r="Q161" i="2" s="1"/>
  <c r="O73" i="2"/>
  <c r="Q73" i="2" s="1"/>
  <c r="O92" i="2"/>
  <c r="Q92" i="2" s="1"/>
  <c r="O18" i="2"/>
  <c r="Q18" i="2" s="1"/>
  <c r="O135" i="2"/>
  <c r="Q135" i="2" s="1"/>
  <c r="O23" i="2"/>
  <c r="Q23" i="2" s="1"/>
  <c r="O187" i="2"/>
  <c r="Q187" i="2" s="1"/>
  <c r="O88" i="2"/>
  <c r="Q88" i="2" s="1"/>
  <c r="O11" i="2"/>
  <c r="Q11" i="2" s="1"/>
  <c r="O64" i="2"/>
  <c r="Q64" i="2" s="1"/>
  <c r="O94" i="2"/>
  <c r="Q94" i="2" s="1"/>
  <c r="O51" i="2"/>
  <c r="Q51" i="2" s="1"/>
  <c r="O61" i="2"/>
  <c r="Q61" i="2" s="1"/>
  <c r="O72" i="2"/>
  <c r="Q72" i="2" s="1"/>
  <c r="O136" i="2"/>
  <c r="Q136" i="2" s="1"/>
  <c r="O13" i="2"/>
  <c r="Q13" i="2" s="1"/>
  <c r="O76" i="2"/>
  <c r="Q76" i="2" s="1"/>
  <c r="O7" i="2"/>
  <c r="Q7" i="2" s="1"/>
  <c r="O85" i="2"/>
  <c r="Q85" i="2" s="1"/>
  <c r="O148" i="2"/>
  <c r="Q148" i="2" s="1"/>
  <c r="O57" i="2"/>
  <c r="Q57" i="2" s="1"/>
  <c r="O173" i="2"/>
  <c r="Q173" i="2" s="1"/>
  <c r="O176" i="2"/>
  <c r="Q176" i="2" s="1"/>
  <c r="O144" i="2"/>
  <c r="Q144" i="2" s="1"/>
  <c r="O84" i="2"/>
  <c r="Q84" i="2" s="1"/>
  <c r="O129" i="2"/>
  <c r="Q129" i="2" s="1"/>
  <c r="O39" i="2"/>
  <c r="Q39" i="2" s="1"/>
  <c r="O82" i="2"/>
  <c r="Q82" i="2" s="1"/>
  <c r="O179" i="2"/>
  <c r="Q179" i="2" s="1"/>
  <c r="O196" i="2"/>
  <c r="Q196" i="2" s="1"/>
  <c r="O55" i="2"/>
  <c r="Q55" i="2" s="1"/>
  <c r="O114" i="2"/>
  <c r="Q114" i="2" s="1"/>
  <c r="O66" i="2"/>
  <c r="Q66" i="2" s="1"/>
  <c r="O46" i="2"/>
  <c r="Q46" i="2" s="1"/>
  <c r="O71" i="2"/>
  <c r="Q71" i="2" s="1"/>
  <c r="O189" i="2"/>
  <c r="Q189" i="2" s="1"/>
  <c r="O20" i="2"/>
  <c r="Q20" i="2" s="1"/>
  <c r="O74" i="2"/>
  <c r="Q74" i="2" s="1"/>
  <c r="O126" i="2"/>
  <c r="Q126" i="2" s="1"/>
  <c r="O110" i="2"/>
  <c r="Q110" i="2" s="1"/>
  <c r="O56" i="2"/>
  <c r="Q56" i="2" s="1"/>
  <c r="O186" i="2"/>
  <c r="Q186" i="2" s="1"/>
  <c r="O194" i="2"/>
  <c r="Q194" i="2" s="1"/>
  <c r="O62" i="2"/>
  <c r="Q62" i="2" s="1"/>
  <c r="O90" i="2"/>
  <c r="Q90" i="2" s="1"/>
  <c r="O2" i="2"/>
  <c r="B15" i="6" s="1"/>
  <c r="O168" i="2"/>
  <c r="Q168" i="2" s="1"/>
  <c r="O33" i="2"/>
  <c r="Q33" i="2" s="1"/>
  <c r="O106" i="2"/>
  <c r="Q106" i="2" s="1"/>
  <c r="O45" i="2"/>
  <c r="Q45" i="2" s="1"/>
  <c r="O191" i="2"/>
  <c r="Q191" i="2" s="1"/>
  <c r="O14" i="2"/>
  <c r="Q14" i="2" s="1"/>
  <c r="O25" i="2"/>
  <c r="Q25" i="2" s="1"/>
  <c r="O134" i="2"/>
  <c r="Q134" i="2" s="1"/>
  <c r="O121" i="2"/>
  <c r="Q121" i="2" s="1"/>
  <c r="O78" i="2"/>
  <c r="Q78" i="2" s="1"/>
  <c r="O143" i="2"/>
  <c r="Q143" i="2" s="1"/>
  <c r="O124" i="2"/>
  <c r="Q124" i="2" s="1"/>
  <c r="O98" i="2"/>
  <c r="Q98" i="2" s="1"/>
  <c r="O140" i="2"/>
  <c r="Q140" i="2" s="1"/>
  <c r="O95" i="2"/>
  <c r="Q95" i="2" s="1"/>
  <c r="O193" i="2"/>
  <c r="Q193" i="2" s="1"/>
  <c r="O199" i="2"/>
  <c r="Q199" i="2" s="1"/>
  <c r="O54" i="2"/>
  <c r="Q54" i="2" s="1"/>
  <c r="O26" i="2"/>
  <c r="Q26" i="2" s="1"/>
  <c r="O52" i="2"/>
  <c r="Q52" i="2" s="1"/>
  <c r="O27" i="2"/>
  <c r="Q27" i="2" s="1"/>
  <c r="O5" i="2"/>
  <c r="Q5" i="2" s="1"/>
  <c r="O201" i="2"/>
  <c r="Q201" i="2" s="1"/>
  <c r="O32" i="2"/>
  <c r="Q32" i="2" s="1"/>
  <c r="O174" i="2"/>
  <c r="Q174" i="2" s="1"/>
  <c r="O112" i="2"/>
  <c r="Q112" i="2" s="1"/>
  <c r="O16" i="2"/>
  <c r="Q16" i="2" s="1"/>
  <c r="O119" i="2"/>
  <c r="Q119" i="2" s="1"/>
  <c r="O123" i="2"/>
  <c r="Q123" i="2" s="1"/>
  <c r="O91" i="2"/>
  <c r="Q91" i="2" s="1"/>
  <c r="O122" i="2"/>
  <c r="Q122" i="2" s="1"/>
  <c r="O75" i="2"/>
  <c r="Q75" i="2" s="1"/>
  <c r="O130" i="2"/>
  <c r="Q130" i="2" s="1"/>
  <c r="O97" i="2"/>
  <c r="Q97" i="2" s="1"/>
  <c r="O169" i="2"/>
  <c r="Q169" i="2" s="1"/>
  <c r="O86" i="2"/>
  <c r="Q86" i="2" s="1"/>
  <c r="O165" i="2"/>
  <c r="Q165" i="2" s="1"/>
  <c r="O159" i="2"/>
  <c r="Q159" i="2" s="1"/>
  <c r="O163" i="2"/>
  <c r="Q163" i="2" s="1"/>
  <c r="O38" i="2"/>
  <c r="Q38" i="2" s="1"/>
  <c r="O107" i="2"/>
  <c r="Q107" i="2" s="1"/>
  <c r="O43" i="2"/>
  <c r="Q43" i="2" s="1"/>
  <c r="O155" i="2"/>
  <c r="Q155" i="2" s="1"/>
  <c r="O145" i="2"/>
  <c r="Q145" i="2" s="1"/>
  <c r="O35" i="2"/>
  <c r="Q35" i="2" s="1"/>
  <c r="O65" i="2"/>
  <c r="Q65" i="2" s="1"/>
  <c r="O178" i="2"/>
  <c r="Q178" i="2" s="1"/>
  <c r="O63" i="2"/>
  <c r="Q63" i="2" s="1"/>
  <c r="O180" i="2"/>
  <c r="Q180" i="2" s="1"/>
  <c r="O70" i="2"/>
  <c r="Q70" i="2" s="1"/>
  <c r="O93" i="2"/>
  <c r="Q93" i="2" s="1"/>
  <c r="O10" i="2"/>
  <c r="Q10" i="2" s="1"/>
  <c r="O185" i="2"/>
  <c r="Q185" i="2" s="1"/>
  <c r="O101" i="2"/>
  <c r="Q101" i="2" s="1"/>
  <c r="O49" i="2"/>
  <c r="Q49" i="2" s="1"/>
  <c r="O197" i="2"/>
  <c r="Q197" i="2" s="1"/>
  <c r="O9" i="2"/>
  <c r="Q9" i="2" s="1"/>
  <c r="C9" i="6"/>
  <c r="C10" i="6"/>
  <c r="C11" i="6"/>
  <c r="C8" i="6"/>
  <c r="T99" i="2" l="1"/>
  <c r="U99" i="2" s="1"/>
  <c r="S99" i="2"/>
  <c r="V99" i="2"/>
  <c r="T170" i="2"/>
  <c r="U170" i="2" s="1"/>
  <c r="S170" i="2"/>
  <c r="V170" i="2"/>
  <c r="S6" i="2"/>
  <c r="T6" i="2"/>
  <c r="U6" i="2" s="1"/>
  <c r="V6" i="2"/>
  <c r="S100" i="2"/>
  <c r="T100" i="2"/>
  <c r="U100" i="2" s="1"/>
  <c r="V100" i="2"/>
  <c r="S142" i="2"/>
  <c r="V142" i="2"/>
  <c r="T142" i="2"/>
  <c r="U142" i="2" s="1"/>
  <c r="T77" i="2"/>
  <c r="S77" i="2"/>
  <c r="V77" i="2"/>
  <c r="U77" i="2"/>
  <c r="T158" i="2"/>
  <c r="U158" i="2" s="1"/>
  <c r="S158" i="2"/>
  <c r="V158" i="2"/>
  <c r="T41" i="2"/>
  <c r="U41" i="2" s="1"/>
  <c r="S41" i="2"/>
  <c r="V41" i="2"/>
  <c r="T127" i="2"/>
  <c r="U127" i="2"/>
  <c r="S127" i="2"/>
  <c r="V127" i="2"/>
  <c r="T37" i="2"/>
  <c r="S37" i="2"/>
  <c r="V37" i="2"/>
  <c r="U37" i="2"/>
  <c r="C12" i="6"/>
  <c r="B11" i="6"/>
  <c r="B8" i="6"/>
  <c r="B9" i="6"/>
  <c r="D8" i="6"/>
  <c r="D10" i="6"/>
  <c r="V67" i="2"/>
  <c r="S67" i="2"/>
  <c r="T67" i="2"/>
  <c r="U67" i="2" s="1"/>
  <c r="T17" i="2"/>
  <c r="U17" i="2" s="1"/>
  <c r="V17" i="2"/>
  <c r="S17" i="2"/>
  <c r="B10" i="6"/>
  <c r="V34" i="2"/>
  <c r="S34" i="2"/>
  <c r="T34" i="2"/>
  <c r="U34" i="2" s="1"/>
  <c r="T87" i="2"/>
  <c r="U87" i="2" s="1"/>
  <c r="V87" i="2"/>
  <c r="S87" i="2"/>
  <c r="T79" i="2"/>
  <c r="U79" i="2" s="1"/>
  <c r="S79" i="2"/>
  <c r="V79" i="2"/>
  <c r="T133" i="2"/>
  <c r="U133" i="2" s="1"/>
  <c r="S133" i="2"/>
  <c r="V133" i="2"/>
  <c r="T22" i="2"/>
  <c r="U22" i="2" s="1"/>
  <c r="V22" i="2"/>
  <c r="S22" i="2"/>
  <c r="T58" i="2"/>
  <c r="U58" i="2" s="1"/>
  <c r="V58" i="2"/>
  <c r="S58" i="2"/>
  <c r="T151" i="2"/>
  <c r="U151" i="2" s="1"/>
  <c r="S151" i="2"/>
  <c r="V151" i="2"/>
  <c r="S109" i="2"/>
  <c r="T109" i="2"/>
  <c r="U109" i="2" s="1"/>
  <c r="V109" i="2"/>
  <c r="V48" i="2"/>
  <c r="T48" i="2"/>
  <c r="U48" i="2" s="1"/>
  <c r="S48" i="2"/>
  <c r="T154" i="2"/>
  <c r="U154" i="2" s="1"/>
  <c r="S154" i="2"/>
  <c r="V154" i="2"/>
  <c r="V118" i="2"/>
  <c r="S118" i="2"/>
  <c r="T118" i="2"/>
  <c r="U118" i="2" s="1"/>
  <c r="T40" i="2"/>
  <c r="U40" i="2" s="1"/>
  <c r="V40" i="2"/>
  <c r="S40" i="2"/>
  <c r="T181" i="2"/>
  <c r="U181" i="2" s="1"/>
  <c r="D11" i="6"/>
  <c r="V181" i="2"/>
  <c r="S181" i="2"/>
  <c r="V53" i="2"/>
  <c r="T53" i="2"/>
  <c r="U53" i="2" s="1"/>
  <c r="S53" i="2"/>
  <c r="S31" i="2"/>
  <c r="T31" i="2"/>
  <c r="U31" i="2"/>
  <c r="V31" i="2"/>
  <c r="T183" i="2"/>
  <c r="U183" i="2" s="1"/>
  <c r="S183" i="2"/>
  <c r="V183" i="2"/>
  <c r="T47" i="2"/>
  <c r="U47" i="2" s="1"/>
  <c r="S47" i="2"/>
  <c r="V47" i="2"/>
  <c r="V15" i="2"/>
  <c r="S15" i="2"/>
  <c r="T15" i="2"/>
  <c r="U15" i="2" s="1"/>
  <c r="S59" i="2"/>
  <c r="V59" i="2"/>
  <c r="T59" i="2"/>
  <c r="U59" i="2" s="1"/>
  <c r="T3" i="2"/>
  <c r="U3" i="2" s="1"/>
  <c r="S3" i="2"/>
  <c r="V3" i="2"/>
  <c r="T44" i="2"/>
  <c r="V44" i="2"/>
  <c r="U44" i="2"/>
  <c r="S44" i="2"/>
  <c r="T156" i="2"/>
  <c r="U156" i="2" s="1"/>
  <c r="S156" i="2"/>
  <c r="V156" i="2"/>
  <c r="T149" i="2"/>
  <c r="U149" i="2"/>
  <c r="S149" i="2"/>
  <c r="V149" i="2"/>
  <c r="T125" i="2"/>
  <c r="V125" i="2"/>
  <c r="U125" i="2"/>
  <c r="S125" i="2"/>
  <c r="T167" i="2"/>
  <c r="V167" i="2"/>
  <c r="U167" i="2"/>
  <c r="S167" i="2"/>
  <c r="V190" i="2"/>
  <c r="T190" i="2"/>
  <c r="U190" i="2"/>
  <c r="S190" i="2"/>
  <c r="S28" i="2"/>
  <c r="V28" i="2"/>
  <c r="T28" i="2"/>
  <c r="U28" i="2" s="1"/>
  <c r="V111" i="2"/>
  <c r="T111" i="2"/>
  <c r="U111" i="2" s="1"/>
  <c r="S111" i="2"/>
  <c r="S19" i="2"/>
  <c r="T19" i="2"/>
  <c r="U19" i="2" s="1"/>
  <c r="V19" i="2"/>
  <c r="V195" i="2"/>
  <c r="T195" i="2"/>
  <c r="U195" i="2" s="1"/>
  <c r="S195" i="2"/>
  <c r="D9" i="6"/>
  <c r="T128" i="2"/>
  <c r="U128" i="2" s="1"/>
  <c r="V128" i="2"/>
  <c r="S128" i="2"/>
  <c r="T162" i="2"/>
  <c r="U162" i="2" s="1"/>
  <c r="V162" i="2"/>
  <c r="S162" i="2"/>
  <c r="V29" i="2"/>
  <c r="T29" i="2"/>
  <c r="U29" i="2" s="1"/>
  <c r="S29" i="2"/>
  <c r="T120" i="2"/>
  <c r="U120" i="2" s="1"/>
  <c r="V120" i="2"/>
  <c r="S120" i="2"/>
  <c r="T175" i="2"/>
  <c r="U175" i="2" s="1"/>
  <c r="S175" i="2"/>
  <c r="V175" i="2"/>
  <c r="T139" i="2"/>
  <c r="U139" i="2" s="1"/>
  <c r="V139" i="2"/>
  <c r="S139" i="2"/>
  <c r="V104" i="2"/>
  <c r="S104" i="2"/>
  <c r="T104" i="2"/>
  <c r="U104" i="2" s="1"/>
  <c r="S157" i="2"/>
  <c r="T157" i="2"/>
  <c r="S198" i="2"/>
  <c r="V198" i="2"/>
  <c r="T198" i="2"/>
  <c r="U198" i="2" s="1"/>
  <c r="V172" i="2"/>
  <c r="S172" i="2"/>
  <c r="T172" i="2"/>
  <c r="U172" i="2" s="1"/>
  <c r="S8" i="2"/>
  <c r="V8" i="2"/>
  <c r="T8" i="2"/>
  <c r="U8" i="2"/>
  <c r="S164" i="2"/>
  <c r="V164" i="2"/>
  <c r="T164" i="2"/>
  <c r="U164" i="2" s="1"/>
  <c r="T68" i="2"/>
  <c r="U68" i="2" s="1"/>
  <c r="V68" i="2"/>
  <c r="S68" i="2"/>
  <c r="S131" i="2"/>
  <c r="V131" i="2"/>
  <c r="T113" i="2"/>
  <c r="U113" i="2"/>
  <c r="S113" i="2"/>
  <c r="V113" i="2"/>
  <c r="T103" i="2"/>
  <c r="U103" i="2"/>
  <c r="S103" i="2"/>
  <c r="V103" i="2"/>
  <c r="S166" i="2"/>
  <c r="T166" i="2"/>
  <c r="U166" i="2" s="1"/>
  <c r="V166" i="2"/>
  <c r="U157" i="2"/>
  <c r="V157" i="2"/>
  <c r="T146" i="2"/>
  <c r="U146" i="2" s="1"/>
  <c r="S146" i="2"/>
  <c r="V146" i="2"/>
  <c r="T182" i="2"/>
  <c r="V182" i="2"/>
  <c r="U182" i="2"/>
  <c r="S182" i="2"/>
  <c r="S60" i="2"/>
  <c r="V60" i="2"/>
  <c r="T60" i="2"/>
  <c r="U60" i="2" s="1"/>
  <c r="T115" i="2"/>
  <c r="S115" i="2"/>
  <c r="V115" i="2"/>
  <c r="U115" i="2"/>
  <c r="S117" i="2"/>
  <c r="T117" i="2"/>
  <c r="U117" i="2" s="1"/>
  <c r="V117" i="2"/>
  <c r="V150" i="2"/>
  <c r="T150" i="2"/>
  <c r="U150" i="2" s="1"/>
  <c r="S150" i="2"/>
  <c r="T42" i="2"/>
  <c r="U42" i="2" s="1"/>
  <c r="S42" i="2"/>
  <c r="V42" i="2"/>
  <c r="S192" i="2"/>
  <c r="T192" i="2"/>
  <c r="U192" i="2" s="1"/>
  <c r="V192" i="2"/>
  <c r="T132" i="2"/>
  <c r="U132" i="2" s="1"/>
  <c r="S132" i="2"/>
  <c r="V132" i="2"/>
  <c r="V21" i="2"/>
  <c r="T21" i="2"/>
  <c r="U21" i="2" s="1"/>
  <c r="S21" i="2"/>
  <c r="T4" i="2"/>
  <c r="U4" i="2" s="1"/>
  <c r="S4" i="2"/>
  <c r="V4" i="2"/>
  <c r="T160" i="2"/>
  <c r="V160" i="2"/>
  <c r="U160" i="2"/>
  <c r="S160" i="2"/>
  <c r="T137" i="2"/>
  <c r="S137" i="2"/>
  <c r="V137" i="2"/>
  <c r="U137" i="2"/>
  <c r="V12" i="2"/>
  <c r="T12" i="2"/>
  <c r="U12" i="2"/>
  <c r="S12" i="2"/>
  <c r="S30" i="2"/>
  <c r="T30" i="2"/>
  <c r="V30" i="2"/>
  <c r="U30" i="2"/>
  <c r="S141" i="2"/>
  <c r="T141" i="2"/>
  <c r="U141" i="2" s="1"/>
  <c r="V141" i="2"/>
  <c r="T96" i="2"/>
  <c r="U96" i="2"/>
  <c r="S96" i="2"/>
  <c r="V96" i="2"/>
  <c r="S24" i="2"/>
  <c r="T24" i="2"/>
  <c r="U24" i="2" s="1"/>
  <c r="V24" i="2"/>
  <c r="T152" i="2"/>
  <c r="U152" i="2"/>
  <c r="S152" i="2"/>
  <c r="V152" i="2"/>
  <c r="T50" i="2"/>
  <c r="V50" i="2"/>
  <c r="U50" i="2"/>
  <c r="S50" i="2"/>
  <c r="S102" i="2"/>
  <c r="V102" i="2"/>
  <c r="T102" i="2"/>
  <c r="U102" i="2"/>
  <c r="S69" i="2"/>
  <c r="T69" i="2"/>
  <c r="U69" i="2" s="1"/>
  <c r="V69" i="2"/>
  <c r="V36" i="2"/>
  <c r="T36" i="2"/>
  <c r="U36" i="2"/>
  <c r="S36" i="2"/>
  <c r="S147" i="2"/>
  <c r="T147" i="2"/>
  <c r="U147" i="2" s="1"/>
  <c r="V147" i="2"/>
  <c r="S177" i="2"/>
  <c r="T177" i="2"/>
  <c r="V177" i="2"/>
  <c r="U177" i="2"/>
  <c r="V116" i="2"/>
  <c r="T116" i="2"/>
  <c r="U116" i="2"/>
  <c r="S116" i="2"/>
  <c r="S105" i="2"/>
  <c r="T105" i="2"/>
  <c r="U105" i="2" s="1"/>
  <c r="V105" i="2"/>
  <c r="S200" i="2"/>
  <c r="V200" i="2"/>
  <c r="T200" i="2"/>
  <c r="U200" i="2" s="1"/>
  <c r="V89" i="2"/>
  <c r="T89" i="2"/>
  <c r="U89" i="2" s="1"/>
  <c r="S89" i="2"/>
  <c r="S108" i="2"/>
  <c r="T108" i="2"/>
  <c r="U108" i="2" s="1"/>
  <c r="V108" i="2"/>
  <c r="S188" i="2"/>
  <c r="V188" i="2"/>
  <c r="T188" i="2"/>
  <c r="U188" i="2"/>
  <c r="T153" i="2"/>
  <c r="U153" i="2"/>
  <c r="S153" i="2"/>
  <c r="V153" i="2"/>
  <c r="S184" i="2"/>
  <c r="T184" i="2"/>
  <c r="U184" i="2"/>
  <c r="V184" i="2"/>
  <c r="T81" i="2"/>
  <c r="V81" i="2"/>
  <c r="U81" i="2"/>
  <c r="S81" i="2"/>
  <c r="T171" i="2"/>
  <c r="U171" i="2" s="1"/>
  <c r="S171" i="2"/>
  <c r="V171" i="2"/>
  <c r="S138" i="2"/>
  <c r="T138" i="2"/>
  <c r="U138" i="2" s="1"/>
  <c r="V138" i="2"/>
  <c r="V83" i="2"/>
  <c r="T83" i="2"/>
  <c r="U83" i="2" s="1"/>
  <c r="S83" i="2"/>
  <c r="S80" i="2"/>
  <c r="V80" i="2"/>
  <c r="T80" i="2"/>
  <c r="U80" i="2" s="1"/>
  <c r="V161" i="2"/>
  <c r="T161" i="2"/>
  <c r="U161" i="2" s="1"/>
  <c r="S161" i="2"/>
  <c r="S73" i="2"/>
  <c r="T73" i="2"/>
  <c r="U73" i="2" s="1"/>
  <c r="V73" i="2"/>
  <c r="S92" i="2"/>
  <c r="V92" i="2"/>
  <c r="T92" i="2"/>
  <c r="U92" i="2" s="1"/>
  <c r="V18" i="2"/>
  <c r="T18" i="2"/>
  <c r="U18" i="2" s="1"/>
  <c r="S18" i="2"/>
  <c r="S135" i="2"/>
  <c r="T135" i="2"/>
  <c r="U135" i="2" s="1"/>
  <c r="V135" i="2"/>
  <c r="V23" i="2"/>
  <c r="T23" i="2"/>
  <c r="U23" i="2" s="1"/>
  <c r="S23" i="2"/>
  <c r="T187" i="2"/>
  <c r="S187" i="2"/>
  <c r="U187" i="2"/>
  <c r="V187" i="2"/>
  <c r="S88" i="2"/>
  <c r="T88" i="2"/>
  <c r="U88" i="2" s="1"/>
  <c r="V88" i="2"/>
  <c r="T11" i="2"/>
  <c r="U11" i="2" s="1"/>
  <c r="S11" i="2"/>
  <c r="V11" i="2"/>
  <c r="T64" i="2"/>
  <c r="U64" i="2" s="1"/>
  <c r="S64" i="2"/>
  <c r="V64" i="2"/>
  <c r="V94" i="2"/>
  <c r="T94" i="2"/>
  <c r="U94" i="2" s="1"/>
  <c r="S94" i="2"/>
  <c r="T51" i="2"/>
  <c r="S51" i="2"/>
  <c r="U51" i="2"/>
  <c r="V51" i="2"/>
  <c r="T61" i="2"/>
  <c r="U61" i="2" s="1"/>
  <c r="S61" i="2"/>
  <c r="V61" i="2"/>
  <c r="V72" i="2"/>
  <c r="T72" i="2"/>
  <c r="U72" i="2" s="1"/>
  <c r="S72" i="2"/>
  <c r="S136" i="2"/>
  <c r="T136" i="2"/>
  <c r="U136" i="2" s="1"/>
  <c r="V136" i="2"/>
  <c r="T13" i="2"/>
  <c r="U13" i="2" s="1"/>
  <c r="S13" i="2"/>
  <c r="V13" i="2"/>
  <c r="T76" i="2"/>
  <c r="U76" i="2" s="1"/>
  <c r="V76" i="2"/>
  <c r="S76" i="2"/>
  <c r="T7" i="2"/>
  <c r="U7" i="2" s="1"/>
  <c r="S7" i="2"/>
  <c r="V7" i="2"/>
  <c r="T85" i="2"/>
  <c r="U85" i="2" s="1"/>
  <c r="S85" i="2"/>
  <c r="V85" i="2"/>
  <c r="S148" i="2"/>
  <c r="T148" i="2"/>
  <c r="U148" i="2" s="1"/>
  <c r="V148" i="2"/>
  <c r="T57" i="2"/>
  <c r="U57" i="2" s="1"/>
  <c r="V57" i="2"/>
  <c r="S57" i="2"/>
  <c r="T173" i="2"/>
  <c r="S173" i="2"/>
  <c r="V173" i="2"/>
  <c r="U173" i="2"/>
  <c r="S176" i="2"/>
  <c r="V176" i="2"/>
  <c r="T176" i="2"/>
  <c r="U176" i="2" s="1"/>
  <c r="T144" i="2"/>
  <c r="U144" i="2" s="1"/>
  <c r="S144" i="2"/>
  <c r="V144" i="2"/>
  <c r="T84" i="2"/>
  <c r="U84" i="2" s="1"/>
  <c r="S84" i="2"/>
  <c r="V84" i="2"/>
  <c r="T129" i="2"/>
  <c r="S129" i="2"/>
  <c r="V129" i="2"/>
  <c r="U129" i="2"/>
  <c r="T39" i="2"/>
  <c r="U39" i="2" s="1"/>
  <c r="S39" i="2"/>
  <c r="V39" i="2"/>
  <c r="T82" i="2"/>
  <c r="U82" i="2" s="1"/>
  <c r="S82" i="2"/>
  <c r="V82" i="2"/>
  <c r="T179" i="2"/>
  <c r="U179" i="2" s="1"/>
  <c r="S179" i="2"/>
  <c r="V179" i="2"/>
  <c r="T196" i="2"/>
  <c r="U196" i="2" s="1"/>
  <c r="S196" i="2"/>
  <c r="V196" i="2"/>
  <c r="T55" i="2"/>
  <c r="U55" i="2" s="1"/>
  <c r="S55" i="2"/>
  <c r="V55" i="2"/>
  <c r="T114" i="2"/>
  <c r="U114" i="2" s="1"/>
  <c r="S114" i="2"/>
  <c r="V114" i="2"/>
  <c r="S66" i="2"/>
  <c r="V66" i="2"/>
  <c r="T66" i="2"/>
  <c r="U66" i="2" s="1"/>
  <c r="T46" i="2"/>
  <c r="S46" i="2"/>
  <c r="V46" i="2"/>
  <c r="U46" i="2"/>
  <c r="T71" i="2"/>
  <c r="U71" i="2" s="1"/>
  <c r="S71" i="2"/>
  <c r="V71" i="2"/>
  <c r="T189" i="2"/>
  <c r="U189" i="2" s="1"/>
  <c r="S189" i="2"/>
  <c r="V189" i="2"/>
  <c r="T20" i="2"/>
  <c r="U20" i="2" s="1"/>
  <c r="S20" i="2"/>
  <c r="V20" i="2"/>
  <c r="T74" i="2"/>
  <c r="U74" i="2" s="1"/>
  <c r="S74" i="2"/>
  <c r="V74" i="2"/>
  <c r="T126" i="2"/>
  <c r="U126" i="2" s="1"/>
  <c r="S126" i="2"/>
  <c r="V126" i="2"/>
  <c r="T110" i="2"/>
  <c r="U110" i="2" s="1"/>
  <c r="S110" i="2"/>
  <c r="V110" i="2"/>
  <c r="T56" i="2"/>
  <c r="U56" i="2" s="1"/>
  <c r="S56" i="2"/>
  <c r="V56" i="2"/>
  <c r="T186" i="2"/>
  <c r="S186" i="2"/>
  <c r="V186" i="2"/>
  <c r="U186" i="2"/>
  <c r="T194" i="2"/>
  <c r="U194" i="2" s="1"/>
  <c r="S194" i="2"/>
  <c r="V194" i="2"/>
  <c r="T62" i="2"/>
  <c r="U62" i="2" s="1"/>
  <c r="S62" i="2"/>
  <c r="V62" i="2"/>
  <c r="T90" i="2"/>
  <c r="U90" i="2" s="1"/>
  <c r="S90" i="2"/>
  <c r="V90" i="2"/>
  <c r="T2" i="2"/>
  <c r="U2" i="2" s="1"/>
  <c r="S2" i="2"/>
  <c r="V2" i="2"/>
  <c r="T168" i="2"/>
  <c r="U168" i="2" s="1"/>
  <c r="S168" i="2"/>
  <c r="V168" i="2"/>
  <c r="S33" i="2"/>
  <c r="V33" i="2"/>
  <c r="T33" i="2"/>
  <c r="U33" i="2" s="1"/>
  <c r="T106" i="2"/>
  <c r="U106" i="2" s="1"/>
  <c r="S106" i="2"/>
  <c r="V106" i="2"/>
  <c r="T45" i="2"/>
  <c r="U45" i="2" s="1"/>
  <c r="S45" i="2"/>
  <c r="V45" i="2"/>
  <c r="S191" i="2"/>
  <c r="V191" i="2"/>
  <c r="T191" i="2"/>
  <c r="U191" i="2" s="1"/>
  <c r="T14" i="2"/>
  <c r="U14" i="2" s="1"/>
  <c r="S14" i="2"/>
  <c r="V14" i="2"/>
  <c r="T25" i="2"/>
  <c r="U25" i="2" s="1"/>
  <c r="S25" i="2"/>
  <c r="V25" i="2"/>
  <c r="T134" i="2"/>
  <c r="S134" i="2"/>
  <c r="V134" i="2"/>
  <c r="U134" i="2"/>
  <c r="S121" i="2"/>
  <c r="V121" i="2"/>
  <c r="T121" i="2"/>
  <c r="U121" i="2" s="1"/>
  <c r="T78" i="2"/>
  <c r="U78" i="2" s="1"/>
  <c r="S78" i="2"/>
  <c r="V78" i="2"/>
  <c r="S143" i="2"/>
  <c r="V143" i="2"/>
  <c r="T143" i="2"/>
  <c r="U143" i="2" s="1"/>
  <c r="T124" i="2"/>
  <c r="U124" i="2" s="1"/>
  <c r="S124" i="2"/>
  <c r="V124" i="2"/>
  <c r="T98" i="2"/>
  <c r="U98" i="2"/>
  <c r="S98" i="2"/>
  <c r="V98" i="2"/>
  <c r="T140" i="2"/>
  <c r="U140" i="2" s="1"/>
  <c r="S140" i="2"/>
  <c r="V140" i="2"/>
  <c r="S95" i="2"/>
  <c r="V95" i="2"/>
  <c r="T95" i="2"/>
  <c r="U95" i="2" s="1"/>
  <c r="T193" i="2"/>
  <c r="U193" i="2" s="1"/>
  <c r="S193" i="2"/>
  <c r="V193" i="2"/>
  <c r="T199" i="2"/>
  <c r="U199" i="2" s="1"/>
  <c r="S199" i="2"/>
  <c r="V199" i="2"/>
  <c r="T54" i="2"/>
  <c r="U54" i="2" s="1"/>
  <c r="S54" i="2"/>
  <c r="V54" i="2"/>
  <c r="T26" i="2"/>
  <c r="U26" i="2" s="1"/>
  <c r="S26" i="2"/>
  <c r="V26" i="2"/>
  <c r="T52" i="2"/>
  <c r="U52" i="2" s="1"/>
  <c r="S52" i="2"/>
  <c r="V52" i="2"/>
  <c r="T27" i="2"/>
  <c r="U27" i="2" s="1"/>
  <c r="S27" i="2"/>
  <c r="V27" i="2"/>
  <c r="T5" i="2"/>
  <c r="U5" i="2" s="1"/>
  <c r="S5" i="2"/>
  <c r="V5" i="2"/>
  <c r="T201" i="2"/>
  <c r="S201" i="2"/>
  <c r="V201" i="2"/>
  <c r="U201" i="2"/>
  <c r="T32" i="2"/>
  <c r="U32" i="2" s="1"/>
  <c r="S32" i="2"/>
  <c r="V32" i="2"/>
  <c r="T174" i="2"/>
  <c r="U174" i="2"/>
  <c r="S174" i="2"/>
  <c r="V174" i="2"/>
  <c r="T112" i="2"/>
  <c r="U112" i="2" s="1"/>
  <c r="S112" i="2"/>
  <c r="V112" i="2"/>
  <c r="T16" i="2"/>
  <c r="U16" i="2"/>
  <c r="S16" i="2"/>
  <c r="V16" i="2"/>
  <c r="T119" i="2"/>
  <c r="S119" i="2"/>
  <c r="V119" i="2"/>
  <c r="U119" i="2"/>
  <c r="T123" i="2"/>
  <c r="S123" i="2"/>
  <c r="V123" i="2"/>
  <c r="U123" i="2"/>
  <c r="S91" i="2"/>
  <c r="V91" i="2"/>
  <c r="T91" i="2"/>
  <c r="U91" i="2" s="1"/>
  <c r="T122" i="2"/>
  <c r="U122" i="2" s="1"/>
  <c r="S122" i="2"/>
  <c r="V122" i="2"/>
  <c r="T75" i="2"/>
  <c r="U75" i="2" s="1"/>
  <c r="S75" i="2"/>
  <c r="V75" i="2"/>
  <c r="T130" i="2"/>
  <c r="U130" i="2" s="1"/>
  <c r="S130" i="2"/>
  <c r="V130" i="2"/>
  <c r="S97" i="2"/>
  <c r="V97" i="2"/>
  <c r="T97" i="2"/>
  <c r="U97" i="2" s="1"/>
  <c r="T169" i="2"/>
  <c r="U169" i="2" s="1"/>
  <c r="S169" i="2"/>
  <c r="V169" i="2"/>
  <c r="T86" i="2"/>
  <c r="U86" i="2" s="1"/>
  <c r="S86" i="2"/>
  <c r="V86" i="2"/>
  <c r="T165" i="2"/>
  <c r="S165" i="2"/>
  <c r="V165" i="2"/>
  <c r="U165" i="2"/>
  <c r="T159" i="2"/>
  <c r="U159" i="2" s="1"/>
  <c r="S159" i="2"/>
  <c r="V159" i="2"/>
  <c r="T163" i="2"/>
  <c r="U163" i="2"/>
  <c r="S163" i="2"/>
  <c r="V163" i="2"/>
  <c r="S38" i="2"/>
  <c r="V38" i="2"/>
  <c r="T38" i="2"/>
  <c r="U38" i="2" s="1"/>
  <c r="T107" i="2"/>
  <c r="U107" i="2" s="1"/>
  <c r="S107" i="2"/>
  <c r="V107" i="2"/>
  <c r="T43" i="2"/>
  <c r="U43" i="2" s="1"/>
  <c r="S43" i="2"/>
  <c r="V43" i="2"/>
  <c r="T155" i="2"/>
  <c r="U155" i="2" s="1"/>
  <c r="S155" i="2"/>
  <c r="V155" i="2"/>
  <c r="T145" i="2"/>
  <c r="U145" i="2" s="1"/>
  <c r="S145" i="2"/>
  <c r="V145" i="2"/>
  <c r="T35" i="2"/>
  <c r="U35" i="2" s="1"/>
  <c r="S35" i="2"/>
  <c r="V35" i="2"/>
  <c r="T65" i="2"/>
  <c r="U65" i="2" s="1"/>
  <c r="S65" i="2"/>
  <c r="V65" i="2"/>
  <c r="T178" i="2"/>
  <c r="U178" i="2" s="1"/>
  <c r="S178" i="2"/>
  <c r="V178" i="2"/>
  <c r="T63" i="2"/>
  <c r="U63" i="2" s="1"/>
  <c r="S63" i="2"/>
  <c r="V63" i="2"/>
  <c r="T180" i="2"/>
  <c r="U180" i="2" s="1"/>
  <c r="S180" i="2"/>
  <c r="V180" i="2"/>
  <c r="T70" i="2"/>
  <c r="U70" i="2" s="1"/>
  <c r="S70" i="2"/>
  <c r="V70" i="2"/>
  <c r="S93" i="2"/>
  <c r="V93" i="2"/>
  <c r="T93" i="2"/>
  <c r="U93" i="2" s="1"/>
  <c r="T10" i="2"/>
  <c r="S10" i="2"/>
  <c r="V10" i="2"/>
  <c r="U10" i="2"/>
  <c r="S185" i="2"/>
  <c r="V185" i="2"/>
  <c r="T185" i="2"/>
  <c r="U185" i="2" s="1"/>
  <c r="T101" i="2"/>
  <c r="U101" i="2" s="1"/>
  <c r="S101" i="2"/>
  <c r="V101" i="2"/>
  <c r="S49" i="2"/>
  <c r="V49" i="2"/>
  <c r="T49" i="2"/>
  <c r="U49" i="2" s="1"/>
  <c r="T197" i="2"/>
  <c r="U197" i="2" s="1"/>
  <c r="S197" i="2"/>
  <c r="V197" i="2"/>
  <c r="T9" i="2"/>
  <c r="S9" i="2"/>
  <c r="V9" i="2"/>
  <c r="U9" i="2"/>
  <c r="B12" i="6" l="1"/>
  <c r="D12" i="6" s="1"/>
  <c r="B17"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980BEDF-359C-45D7-8671-7E68FF39255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DA23AC7-F711-43E8-9B67-C2FD0CA8559B}" name="WorksheetConnection_Orders!$A$1:$W$201" type="102" refreshedVersion="8" minRefreshableVersion="5">
    <extLst>
      <ext xmlns:x15="http://schemas.microsoft.com/office/spreadsheetml/2010/11/main" uri="{DE250136-89BD-433C-8126-D09CA5730AF9}">
        <x15:connection id="Range" autoDelete="1">
          <x15:rangePr sourceName="_xlcn.WorksheetConnection_OrdersA1W2011"/>
        </x15:connection>
      </ext>
    </extLst>
  </connection>
</connections>
</file>

<file path=xl/sharedStrings.xml><?xml version="1.0" encoding="utf-8"?>
<sst xmlns="http://schemas.openxmlformats.org/spreadsheetml/2006/main" count="1613" uniqueCount="524">
  <si>
    <t>EXCEL SKILLS TEST</t>
  </si>
  <si>
    <t>Retail Orders Analysis  |  Time: 90 minutes  |  Total: 100 marks (+5 bonus)</t>
  </si>
  <si>
    <t>RULES</t>
  </si>
  <si>
    <t>1. Save this file as  YourName_ExcelTest.xlsx  before you start.</t>
  </si>
  <si>
    <t>2. Use FORMULAS for every calculated cell — typed numbers get zero marks.</t>
  </si>
  <si>
    <t>3. Do not edit columns A–I of Orders, except where a task says so. Your work goes in the yellow columns J–W and the yellow cells on Summary.</t>
  </si>
  <si>
    <t>4. After cleaning (Section A), use the CLEAN columns (J, K, L) for all later tasks.</t>
  </si>
  <si>
    <t>5. Sheets: Orders (main data), Products, Customers, Commission (lookup tables), Summary (answers), Pivot_Charts (Section D).</t>
  </si>
  <si>
    <t>6. The data is messy on purpose — find the problems before they find you.</t>
  </si>
  <si>
    <t>SECTION A — DATA CLEANING (15 marks)</t>
  </si>
  <si>
    <t>No.</t>
  </si>
  <si>
    <t>Task</t>
  </si>
  <si>
    <t>Where</t>
  </si>
  <si>
    <t>Marks</t>
  </si>
  <si>
    <t>A1</t>
  </si>
  <si>
    <t>Orders contains duplicate rows (same OrderID repeated). Remove the duplicates using Data &gt; Remove Duplicates on OrderID. Type how many rows were removed in Summary!B4.</t>
  </si>
  <si>
    <t>Orders, Summary!B4</t>
  </si>
  <si>
    <t>A2</t>
  </si>
  <si>
    <t>Salesperson (F) and Region (E) have extra spaces and mixed capitalisation. In column J (Salesperson_Clean) and K (Region_Clean) use TRIM and PROPER to clean them.</t>
  </si>
  <si>
    <t>J, K</t>
  </si>
  <si>
    <t>A3</t>
  </si>
  <si>
    <t>Blank cells in Discount (H) mean 'no discount'. Replace every blank with 0 using Go To Special &gt; Blanks.</t>
  </si>
  <si>
    <t>H</t>
  </si>
  <si>
    <t>A4</t>
  </si>
  <si>
    <t>Some ProductIDs (D) contain hidden spaces, which breaks lookups. In column L (ProductID_Clean) use TRIM to fix them.</t>
  </si>
  <si>
    <t>L</t>
  </si>
  <si>
    <t>SECTION B — LOOKUP FUNCTIONS (25 marks)</t>
  </si>
  <si>
    <t>B1</t>
  </si>
  <si>
    <t>In column M (ProductName) use VLOOKUP with exact match to fetch the product name from the Products sheet, using ProductID_Clean (L).</t>
  </si>
  <si>
    <t>M</t>
  </si>
  <si>
    <t>B2</t>
  </si>
  <si>
    <t>In column N (Category) and O (UnitPrice) use VLOOKUP to fetch Category and UnitPrice from the Products sheet.</t>
  </si>
  <si>
    <t>N, O</t>
  </si>
  <si>
    <t>B3</t>
  </si>
  <si>
    <t>Some ProductIDs do not exist in the Products sheet and return a not-found error. Wrap your B1/B2 formulas in IFERROR so ProductName shows "Unknown Product", Category shows "Unknown" and UnitPrice shows 0.</t>
  </si>
  <si>
    <t>M, N, O</t>
  </si>
  <si>
    <t>B4</t>
  </si>
  <si>
    <t>In column P (CustomerCity) use INDEX + MATCH (not VLOOKUP) to fetch the customer's City from the Customers sheet using CustomerID.</t>
  </si>
  <si>
    <t>P</t>
  </si>
  <si>
    <t>B5</t>
  </si>
  <si>
    <t>In column T (CommissionPct) use VLOOKUP with APPROXIMATE match (TRUE) on the Commission sheet to find the commission % for each order's Revenue (Q).</t>
  </si>
  <si>
    <t>T</t>
  </si>
  <si>
    <t>SECTION C — FORMULAS &amp; SUMMARY (25 marks)</t>
  </si>
  <si>
    <t>C1</t>
  </si>
  <si>
    <t>In column Q (Revenue) calculate: Quantity × UnitPrice × (1 − Discount).</t>
  </si>
  <si>
    <t>Q</t>
  </si>
  <si>
    <t>C2</t>
  </si>
  <si>
    <t>In column R (Month) show the month and year of OrderDate as text, e.g. Mar-2024, using the TEXT function.</t>
  </si>
  <si>
    <t>R</t>
  </si>
  <si>
    <t>C3</t>
  </si>
  <si>
    <t>In column S (OrderSize) use a nested IF: Revenue ≥ 50,000 = "Large"; ≥ 20,000 = "Medium"; otherwise "Small".</t>
  </si>
  <si>
    <t>S</t>
  </si>
  <si>
    <t>C4</t>
  </si>
  <si>
    <t>In column U (CommissionAmt) calculate Revenue × CommissionPct.</t>
  </si>
  <si>
    <t>U</t>
  </si>
  <si>
    <t>C5</t>
  </si>
  <si>
    <t>In column V (FollowUp) use IF with AND: show "Follow Up" if PaymentStatus is "Pending" AND Revenue &gt; 20,000; otherwise "OK".</t>
  </si>
  <si>
    <t>V</t>
  </si>
  <si>
    <t>C6</t>
  </si>
  <si>
    <t>On Summary, fill the Region table: Total Revenue using SUMIFS and No. of Orders using COUNTIFS for each region (use Region_Clean, column K).</t>
  </si>
  <si>
    <t>Summary B8:C11</t>
  </si>
  <si>
    <t>C7</t>
  </si>
  <si>
    <t>On Summary, fill Avg Revenue per Order using AVERAGEIFS for each region, and the Grand Total row using SUM.</t>
  </si>
  <si>
    <t>Summary D8:D11, row 12</t>
  </si>
  <si>
    <t>SECTION D — PIVOTTABLES &amp; CHARTS (20 marks)  — build on the Pivot_Charts sheet</t>
  </si>
  <si>
    <t>D1</t>
  </si>
  <si>
    <t>Create a PivotTable showing Total Revenue by Region_Clean.</t>
  </si>
  <si>
    <t>Pivot_Charts</t>
  </si>
  <si>
    <t>D2</t>
  </si>
  <si>
    <t>Create a second PivotTable: Category in rows, Months in columns (group OrderDate by Months), Revenue as values.</t>
  </si>
  <si>
    <t>D3</t>
  </si>
  <si>
    <t>Create a third PivotTable showing the Top 5 Salesperson_Clean by Revenue (Value Filters &gt; Top 10 &gt; 5).</t>
  </si>
  <si>
    <t>D4</t>
  </si>
  <si>
    <t>Add a Slicer for Region_Clean and connect it to your PivotTables.</t>
  </si>
  <si>
    <t>D5</t>
  </si>
  <si>
    <t>Insert a column chart (Revenue by Region) and a line chart (monthly Revenue trend). Add chart titles and axis labels.</t>
  </si>
  <si>
    <t>SECTION E — PRODUCTIVITY &amp; FORMATTING (15 marks)</t>
  </si>
  <si>
    <t>E1</t>
  </si>
  <si>
    <t>Convert the Orders data into an Excel Table named tblOrders and freeze the header row.</t>
  </si>
  <si>
    <t>Orders</t>
  </si>
  <si>
    <t>E2</t>
  </si>
  <si>
    <t>Conditional Formatting: highlight the Top 10 Revenue values in green and any "Follow Up" cells in red.</t>
  </si>
  <si>
    <t>Q, V</t>
  </si>
  <si>
    <t>E3</t>
  </si>
  <si>
    <t>On Summary, create a drop-down list (Data Validation) in B14 with North, South, East, West. In B15 use SUMIFS so it shows the total Revenue for the selected region.</t>
  </si>
  <si>
    <t>Summary B14:B15</t>
  </si>
  <si>
    <t>E4</t>
  </si>
  <si>
    <t>Sort the Orders table by Region_Clean (A to Z), then by Revenue (largest to smallest).</t>
  </si>
  <si>
    <t>E5</t>
  </si>
  <si>
    <t>Format Revenue, UnitPrice and CommissionAmt as currency (₹, no decimals) and OrderDate as dd-mmm-yyyy.</t>
  </si>
  <si>
    <t>B, O, Q, U</t>
  </si>
  <si>
    <t>BONUS (5 marks) — Excel 365 only</t>
  </si>
  <si>
    <t>X1</t>
  </si>
  <si>
    <t>In column W (Segment_BONUS) use XLOOKUP to fetch the customer's Segment from the Customers sheet.</t>
  </si>
  <si>
    <t>W</t>
  </si>
  <si>
    <t>X2</t>
  </si>
  <si>
    <t>In Summary!B17 use SUMIFS with TWO conditions to show Revenue of 'Large' orders in the region selected in B14.</t>
  </si>
  <si>
    <t>Summary B17</t>
  </si>
  <si>
    <t>OrderID</t>
  </si>
  <si>
    <t>OrderDate</t>
  </si>
  <si>
    <t>CustomerID</t>
  </si>
  <si>
    <t>ProductID</t>
  </si>
  <si>
    <t>Region</t>
  </si>
  <si>
    <t>Salesperson</t>
  </si>
  <si>
    <t>Quantity</t>
  </si>
  <si>
    <t>Discount</t>
  </si>
  <si>
    <t>PaymentStatus</t>
  </si>
  <si>
    <t>Salesperson_Clean</t>
  </si>
  <si>
    <t>Region_Clean</t>
  </si>
  <si>
    <t>ProductID_Clean</t>
  </si>
  <si>
    <t>ProductName</t>
  </si>
  <si>
    <t>Category</t>
  </si>
  <si>
    <t>UnitPrice</t>
  </si>
  <si>
    <t>CustomerCity</t>
  </si>
  <si>
    <t>Revenue</t>
  </si>
  <si>
    <t>Month</t>
  </si>
  <si>
    <t>OrderSize</t>
  </si>
  <si>
    <t>CommissionPct</t>
  </si>
  <si>
    <t>CommissionAmt</t>
  </si>
  <si>
    <t>FollowUp</t>
  </si>
  <si>
    <t>Segment_BONUS</t>
  </si>
  <si>
    <t>ORD2021</t>
  </si>
  <si>
    <t>C1017</t>
  </si>
  <si>
    <t>P107</t>
  </si>
  <si>
    <t>East</t>
  </si>
  <si>
    <t>POOJA NAIR</t>
  </si>
  <si>
    <t>Paid</t>
  </si>
  <si>
    <t>ORD2044</t>
  </si>
  <si>
    <t>C1033</t>
  </si>
  <si>
    <t>P118</t>
  </si>
  <si>
    <t>South</t>
  </si>
  <si>
    <t>Reena Joshi</t>
  </si>
  <si>
    <t>ORD2160</t>
  </si>
  <si>
    <t>P114</t>
  </si>
  <si>
    <t xml:space="preserve">South </t>
  </si>
  <si>
    <t>Manoj Das</t>
  </si>
  <si>
    <t>ORD2110</t>
  </si>
  <si>
    <t>C1013</t>
  </si>
  <si>
    <t>P113</t>
  </si>
  <si>
    <t>SOUTH</t>
  </si>
  <si>
    <t>Pooja Nair</t>
  </si>
  <si>
    <t>ORD2177</t>
  </si>
  <si>
    <t>C1007</t>
  </si>
  <si>
    <t>P116</t>
  </si>
  <si>
    <t>reena joshi</t>
  </si>
  <si>
    <t>Overdue</t>
  </si>
  <si>
    <t>ORD2081</t>
  </si>
  <si>
    <t>C1027</t>
  </si>
  <si>
    <t>West</t>
  </si>
  <si>
    <t>ORD2123</t>
  </si>
  <si>
    <t>C1040</t>
  </si>
  <si>
    <t>P110</t>
  </si>
  <si>
    <t>north</t>
  </si>
  <si>
    <t>ORD2148</t>
  </si>
  <si>
    <t>Kiran Shah</t>
  </si>
  <si>
    <t>ORD2134</t>
  </si>
  <si>
    <t>C1003</t>
  </si>
  <si>
    <t>Faisal Khan</t>
  </si>
  <si>
    <t>ORD2093</t>
  </si>
  <si>
    <t>P111</t>
  </si>
  <si>
    <t>Latha Menon</t>
  </si>
  <si>
    <t>ORD2099</t>
  </si>
  <si>
    <t>C1012</t>
  </si>
  <si>
    <t>P117</t>
  </si>
  <si>
    <t>Amit Verma</t>
  </si>
  <si>
    <t>Pending</t>
  </si>
  <si>
    <t>ORD2079</t>
  </si>
  <si>
    <t>C1009</t>
  </si>
  <si>
    <t>ORD2176</t>
  </si>
  <si>
    <t>C1028</t>
  </si>
  <si>
    <t>P101</t>
  </si>
  <si>
    <t xml:space="preserve"> South</t>
  </si>
  <si>
    <t>ORD2153</t>
  </si>
  <si>
    <t>C1034</t>
  </si>
  <si>
    <t>P112</t>
  </si>
  <si>
    <t>ORD2063</t>
  </si>
  <si>
    <t>WEST</t>
  </si>
  <si>
    <t>ORD2174</t>
  </si>
  <si>
    <t>C1031</t>
  </si>
  <si>
    <t>NORTH</t>
  </si>
  <si>
    <t>ORD2116</t>
  </si>
  <si>
    <t>C1019</t>
  </si>
  <si>
    <t>P119</t>
  </si>
  <si>
    <t>ORD2059</t>
  </si>
  <si>
    <t>C1035</t>
  </si>
  <si>
    <t>P103</t>
  </si>
  <si>
    <t>North</t>
  </si>
  <si>
    <t>ORD2137</t>
  </si>
  <si>
    <t>C1024</t>
  </si>
  <si>
    <t>P115</t>
  </si>
  <si>
    <t xml:space="preserve"> Kiran Shah  </t>
  </si>
  <si>
    <t>ORD2015</t>
  </si>
  <si>
    <t>P108</t>
  </si>
  <si>
    <t>ORD2051</t>
  </si>
  <si>
    <t>C1025</t>
  </si>
  <si>
    <t>manoj das</t>
  </si>
  <si>
    <t>ORD2145</t>
  </si>
  <si>
    <t>C1016</t>
  </si>
  <si>
    <t>ORD2078</t>
  </si>
  <si>
    <t>C1014</t>
  </si>
  <si>
    <t xml:space="preserve"> West</t>
  </si>
  <si>
    <t>ORD2080</t>
  </si>
  <si>
    <t>C1006</t>
  </si>
  <si>
    <t>ORD2042</t>
  </si>
  <si>
    <t>ORD2060</t>
  </si>
  <si>
    <t>ORD2027</t>
  </si>
  <si>
    <t>Sunita Rao</t>
  </si>
  <si>
    <t>ORD2068</t>
  </si>
  <si>
    <t>C1002</t>
  </si>
  <si>
    <t>P106</t>
  </si>
  <si>
    <t>ORD2035</t>
  </si>
  <si>
    <t>ORD2043</t>
  </si>
  <si>
    <t xml:space="preserve">P109 </t>
  </si>
  <si>
    <t>AMIT VERMA</t>
  </si>
  <si>
    <t>ORD2155</t>
  </si>
  <si>
    <t>C1010</t>
  </si>
  <si>
    <t>ORD2198</t>
  </si>
  <si>
    <t>ORD2187</t>
  </si>
  <si>
    <t>C1011</t>
  </si>
  <si>
    <t>P104</t>
  </si>
  <si>
    <t>ORD2111</t>
  </si>
  <si>
    <t>C1036</t>
  </si>
  <si>
    <t>ORD2182</t>
  </si>
  <si>
    <t>C1039</t>
  </si>
  <si>
    <t>P120</t>
  </si>
  <si>
    <t>ORD2113</t>
  </si>
  <si>
    <t>C1015</t>
  </si>
  <si>
    <t>P105</t>
  </si>
  <si>
    <t>ORD2117</t>
  </si>
  <si>
    <t>ORD2098</t>
  </si>
  <si>
    <t>C1026</t>
  </si>
  <si>
    <t>ORD2136</t>
  </si>
  <si>
    <t>ORD2066</t>
  </si>
  <si>
    <t>C1038</t>
  </si>
  <si>
    <t>ORD2030</t>
  </si>
  <si>
    <t>ORD2032</t>
  </si>
  <si>
    <t>ORD2036</t>
  </si>
  <si>
    <t>ORD2105</t>
  </si>
  <si>
    <t>ORD2019</t>
  </si>
  <si>
    <t>C1030</t>
  </si>
  <si>
    <t>ORD2095</t>
  </si>
  <si>
    <t>ORD2163</t>
  </si>
  <si>
    <t xml:space="preserve">P102 </t>
  </si>
  <si>
    <t xml:space="preserve"> Faisal Khan  </t>
  </si>
  <si>
    <t>ORD2010</t>
  </si>
  <si>
    <t>ORD2164</t>
  </si>
  <si>
    <t>P999</t>
  </si>
  <si>
    <t xml:space="preserve"> North</t>
  </si>
  <si>
    <t>ORD2046</t>
  </si>
  <si>
    <t>ORD2057</t>
  </si>
  <si>
    <t>ORD2167</t>
  </si>
  <si>
    <t>C1020</t>
  </si>
  <si>
    <t>ORD2108</t>
  </si>
  <si>
    <t>ORD2004</t>
  </si>
  <si>
    <t>ORD2069</t>
  </si>
  <si>
    <t>ORD2139</t>
  </si>
  <si>
    <t>C1005</t>
  </si>
  <si>
    <t>ORD2062</t>
  </si>
  <si>
    <t>ORD2029</t>
  </si>
  <si>
    <t>ORD2096</t>
  </si>
  <si>
    <t>ORD2195</t>
  </si>
  <si>
    <t>P109</t>
  </si>
  <si>
    <t>south</t>
  </si>
  <si>
    <t>ORD2128</t>
  </si>
  <si>
    <t>C1008</t>
  </si>
  <si>
    <t>ORD2115</t>
  </si>
  <si>
    <t>ORD2149</t>
  </si>
  <si>
    <t>ORD2159</t>
  </si>
  <si>
    <t>C1001</t>
  </si>
  <si>
    <t>ORD2017</t>
  </si>
  <si>
    <t>ORD2165</t>
  </si>
  <si>
    <t>C1021</t>
  </si>
  <si>
    <t xml:space="preserve">P107 </t>
  </si>
  <si>
    <t>ORD2121</t>
  </si>
  <si>
    <t>ORD2141</t>
  </si>
  <si>
    <t>P102</t>
  </si>
  <si>
    <t>kiran shah</t>
  </si>
  <si>
    <t>ORD2185</t>
  </si>
  <si>
    <t xml:space="preserve">P120 </t>
  </si>
  <si>
    <t>ORD2092</t>
  </si>
  <si>
    <t>east</t>
  </si>
  <si>
    <t>ORD2001</t>
  </si>
  <si>
    <t>ORD2133</t>
  </si>
  <si>
    <t>ORD2188</t>
  </si>
  <si>
    <t>ORD2114</t>
  </si>
  <si>
    <t>ORD2143</t>
  </si>
  <si>
    <t>C1023</t>
  </si>
  <si>
    <t>ORD2047</t>
  </si>
  <si>
    <t>ORD2132</t>
  </si>
  <si>
    <t>ORD2173</t>
  </si>
  <si>
    <t>ORD2071</t>
  </si>
  <si>
    <t>ORD2162</t>
  </si>
  <si>
    <t>ORD2061</t>
  </si>
  <si>
    <t>ORD2020</t>
  </si>
  <si>
    <t>ORD2076</t>
  </si>
  <si>
    <t>ORD2144</t>
  </si>
  <si>
    <t>ORD2158</t>
  </si>
  <si>
    <t>ORD2119</t>
  </si>
  <si>
    <t>C1004</t>
  </si>
  <si>
    <t>ORD2196</t>
  </si>
  <si>
    <t>C1037</t>
  </si>
  <si>
    <t>ORD2058</t>
  </si>
  <si>
    <t>ORD2052</t>
  </si>
  <si>
    <t>ORD2090</t>
  </si>
  <si>
    <t>C1018</t>
  </si>
  <si>
    <t>ORD2074</t>
  </si>
  <si>
    <t>ORD2191</t>
  </si>
  <si>
    <t>ORD2138</t>
  </si>
  <si>
    <t>ORD2067</t>
  </si>
  <si>
    <t>ORD2102</t>
  </si>
  <si>
    <t>ORD2064</t>
  </si>
  <si>
    <t>ORD2007</t>
  </si>
  <si>
    <t>ORD2171</t>
  </si>
  <si>
    <t>ORD2083</t>
  </si>
  <si>
    <t>ORD2179</t>
  </si>
  <si>
    <t>ORD2056</t>
  </si>
  <si>
    <t>ORD2003</t>
  </si>
  <si>
    <t>ORD2041</t>
  </si>
  <si>
    <t>ORD2126</t>
  </si>
  <si>
    <t>ORD2197</t>
  </si>
  <si>
    <t>C1022</t>
  </si>
  <si>
    <t>ORD2024</t>
  </si>
  <si>
    <t>KIRAN SHAH</t>
  </si>
  <si>
    <t>ORD2039</t>
  </si>
  <si>
    <t>ORD2034</t>
  </si>
  <si>
    <t xml:space="preserve">P112 </t>
  </si>
  <si>
    <t>ORD2170</t>
  </si>
  <si>
    <t>ORD2072</t>
  </si>
  <si>
    <t>EAST</t>
  </si>
  <si>
    <t>ORD2040</t>
  </si>
  <si>
    <t>latha menon</t>
  </si>
  <si>
    <t>ORD2101</t>
  </si>
  <si>
    <t>ORD2018</t>
  </si>
  <si>
    <t xml:space="preserve">P103 </t>
  </si>
  <si>
    <t>ORD2106</t>
  </si>
  <si>
    <t>P998</t>
  </si>
  <si>
    <t>ORD2190</t>
  </si>
  <si>
    <t>ORD2048</t>
  </si>
  <si>
    <t>ORD2150</t>
  </si>
  <si>
    <t>ORD2084</t>
  </si>
  <si>
    <t>ORD2120</t>
  </si>
  <si>
    <t>ORD2199</t>
  </si>
  <si>
    <t>ORD2146</t>
  </si>
  <si>
    <t>ORD2100</t>
  </si>
  <si>
    <t>ORD2180</t>
  </si>
  <si>
    <t>ORD2005</t>
  </si>
  <si>
    <t>ORD2178</t>
  </si>
  <si>
    <t>ORD2026</t>
  </si>
  <si>
    <t>ORD2045</t>
  </si>
  <si>
    <t>ORD2118</t>
  </si>
  <si>
    <t>ORD2152</t>
  </si>
  <si>
    <t>ORD2193</t>
  </si>
  <si>
    <t>ORD2022</t>
  </si>
  <si>
    <t>ORD2038</t>
  </si>
  <si>
    <t>ORD2097</t>
  </si>
  <si>
    <t>ORD2016</t>
  </si>
  <si>
    <t>ORD2183</t>
  </si>
  <si>
    <t>C1029</t>
  </si>
  <si>
    <t>ORD2049</t>
  </si>
  <si>
    <t>ORD2002</t>
  </si>
  <si>
    <t>C1032</t>
  </si>
  <si>
    <t>ORD2028</t>
  </si>
  <si>
    <t>ORD2156</t>
  </si>
  <si>
    <t>LATHA MENON</t>
  </si>
  <si>
    <t>ORD2154</t>
  </si>
  <si>
    <t>ORD2013</t>
  </si>
  <si>
    <t>ORD2147</t>
  </si>
  <si>
    <t>ORD2140</t>
  </si>
  <si>
    <t>ORD2168</t>
  </si>
  <si>
    <t>ORD2103</t>
  </si>
  <si>
    <t>ORD2011</t>
  </si>
  <si>
    <t>ORD2023</t>
  </si>
  <si>
    <t>ORD2151</t>
  </si>
  <si>
    <t>ORD2077</t>
  </si>
  <si>
    <t>FAISAL KHAN</t>
  </si>
  <si>
    <t>ORD2082</t>
  </si>
  <si>
    <t>ORD2050</t>
  </si>
  <si>
    <t>ORD2031</t>
  </si>
  <si>
    <t>ORD2186</t>
  </si>
  <si>
    <t>ORD2053</t>
  </si>
  <si>
    <t>ORD2089</t>
  </si>
  <si>
    <t>ORD2130</t>
  </si>
  <si>
    <t>ORD2070</t>
  </si>
  <si>
    <t>ORD2129</t>
  </si>
  <si>
    <t>ORD2086</t>
  </si>
  <si>
    <t>ORD2104</t>
  </si>
  <si>
    <t>SUNITA RAO</t>
  </si>
  <si>
    <t>ORD2127</t>
  </si>
  <si>
    <t>pooja nair</t>
  </si>
  <si>
    <t>ORD2091</t>
  </si>
  <si>
    <t>ORD2172</t>
  </si>
  <si>
    <t>ORD2075</t>
  </si>
  <si>
    <t>ORD2014</t>
  </si>
  <si>
    <t>ORD2181</t>
  </si>
  <si>
    <t>ORD2065</t>
  </si>
  <si>
    <t xml:space="preserve">West </t>
  </si>
  <si>
    <t>ORD2109</t>
  </si>
  <si>
    <t>ORD2192</t>
  </si>
  <si>
    <t>ORD2112</t>
  </si>
  <si>
    <t>ORD2073</t>
  </si>
  <si>
    <t>ORD2054</t>
  </si>
  <si>
    <t>ORD2142</t>
  </si>
  <si>
    <t>ORD2135</t>
  </si>
  <si>
    <t>ORD2122</t>
  </si>
  <si>
    <t>ORD2088</t>
  </si>
  <si>
    <t>ORD2094</t>
  </si>
  <si>
    <t>ORD2169</t>
  </si>
  <si>
    <t>ORD2200</t>
  </si>
  <si>
    <t>ORD2087</t>
  </si>
  <si>
    <t>ORD2033</t>
  </si>
  <si>
    <t>ORD2161</t>
  </si>
  <si>
    <t>ORD2107</t>
  </si>
  <si>
    <t>ORD2184</t>
  </si>
  <si>
    <t>ORD2055</t>
  </si>
  <si>
    <t xml:space="preserve"> Amit Verma  </t>
  </si>
  <si>
    <t>ORD2009</t>
  </si>
  <si>
    <t>ORD2037</t>
  </si>
  <si>
    <t>ORD2194</t>
  </si>
  <si>
    <t>ORD2125</t>
  </si>
  <si>
    <t>ORD2124</t>
  </si>
  <si>
    <t>ORD2131</t>
  </si>
  <si>
    <t>ORD2025</t>
  </si>
  <si>
    <t>ORD2085</t>
  </si>
  <si>
    <t>ORD2189</t>
  </si>
  <si>
    <t>ORD2175</t>
  </si>
  <si>
    <t>ORD2012</t>
  </si>
  <si>
    <t>ORD2157</t>
  </si>
  <si>
    <t>ORD2006</t>
  </si>
  <si>
    <t>ORD2008</t>
  </si>
  <si>
    <t>ORD2166</t>
  </si>
  <si>
    <t>Laptop</t>
  </si>
  <si>
    <t>Electronics</t>
  </si>
  <si>
    <t>Smartphone</t>
  </si>
  <si>
    <t>Headphones</t>
  </si>
  <si>
    <t>Tablet</t>
  </si>
  <si>
    <t>Smartwatch</t>
  </si>
  <si>
    <t>Office Chair</t>
  </si>
  <si>
    <t>Furniture</t>
  </si>
  <si>
    <t>Standing Desk</t>
  </si>
  <si>
    <t>Bookshelf</t>
  </si>
  <si>
    <t>Sofa Set</t>
  </si>
  <si>
    <t>Coffee Beans</t>
  </si>
  <si>
    <t>Grocery</t>
  </si>
  <si>
    <t>Green Tea</t>
  </si>
  <si>
    <t>Olive Oil</t>
  </si>
  <si>
    <t>Protein Bar Box</t>
  </si>
  <si>
    <t>Almonds 1kg</t>
  </si>
  <si>
    <t>Jacket</t>
  </si>
  <si>
    <t>Clothing</t>
  </si>
  <si>
    <t>Sneakers</t>
  </si>
  <si>
    <t>T-Shirt Pack</t>
  </si>
  <si>
    <t>Jeans</t>
  </si>
  <si>
    <t>Notebook Set</t>
  </si>
  <si>
    <t>Stationery</t>
  </si>
  <si>
    <t>Printer Paper</t>
  </si>
  <si>
    <t>CustomerName</t>
  </si>
  <si>
    <t>City</t>
  </si>
  <si>
    <t>Segment</t>
  </si>
  <si>
    <t>Sneha Patel</t>
  </si>
  <si>
    <t>Chennai</t>
  </si>
  <si>
    <t>Home Office</t>
  </si>
  <si>
    <t>Aarav Iyer</t>
  </si>
  <si>
    <t>Pune</t>
  </si>
  <si>
    <t>Priya Gupta</t>
  </si>
  <si>
    <t>Hyderabad</t>
  </si>
  <si>
    <t>Consumer</t>
  </si>
  <si>
    <t>Arjun Reddy</t>
  </si>
  <si>
    <t>Bengaluru</t>
  </si>
  <si>
    <t>Karan Singh</t>
  </si>
  <si>
    <t>Priya Rao</t>
  </si>
  <si>
    <t>Suresh Menon</t>
  </si>
  <si>
    <t>Rahul Menon</t>
  </si>
  <si>
    <t>Divya Singh</t>
  </si>
  <si>
    <t>Aarav Rao</t>
  </si>
  <si>
    <t>Vikram Singh</t>
  </si>
  <si>
    <t>Mumbai</t>
  </si>
  <si>
    <t>Priya Menon</t>
  </si>
  <si>
    <t>Delhi</t>
  </si>
  <si>
    <t>Suresh Patel</t>
  </si>
  <si>
    <t>Divya Reddy</t>
  </si>
  <si>
    <t>Arjun Iyer</t>
  </si>
  <si>
    <t>Arjun Singh</t>
  </si>
  <si>
    <t>Corporate</t>
  </si>
  <si>
    <t>Meera Menon</t>
  </si>
  <si>
    <t>Vikram Reddy</t>
  </si>
  <si>
    <t>Isha Reddy</t>
  </si>
  <si>
    <t>Vikram Rao</t>
  </si>
  <si>
    <t>Isha Das</t>
  </si>
  <si>
    <t>Priya Iyer</t>
  </si>
  <si>
    <t>Rohan Gupta</t>
  </si>
  <si>
    <t>Karan Sharma</t>
  </si>
  <si>
    <t>Kolkata</t>
  </si>
  <si>
    <t>Neha Rao</t>
  </si>
  <si>
    <t>Sneha Gupta</t>
  </si>
  <si>
    <t>Divya Das</t>
  </si>
  <si>
    <t>Vikram Das</t>
  </si>
  <si>
    <t>Priya Sharma</t>
  </si>
  <si>
    <t>Vikram Menon</t>
  </si>
  <si>
    <t>Aarav Das</t>
  </si>
  <si>
    <t>Divya Iyer</t>
  </si>
  <si>
    <t>Ananya Nair</t>
  </si>
  <si>
    <t>Ananya Singh</t>
  </si>
  <si>
    <t>Priya Patel</t>
  </si>
  <si>
    <t>Arjun Nair</t>
  </si>
  <si>
    <t>Suresh Rao</t>
  </si>
  <si>
    <t>Karan Gupta</t>
  </si>
  <si>
    <t>Revenue From</t>
  </si>
  <si>
    <t>Commission %</t>
  </si>
  <si>
    <t>SUMMARY SHEET — fill the yellow cells</t>
  </si>
  <si>
    <t>A1: Duplicate rows removed</t>
  </si>
  <si>
    <t>Total Revenue</t>
  </si>
  <si>
    <t>No. of Orders</t>
  </si>
  <si>
    <t>Avg Revenue per Order</t>
  </si>
  <si>
    <t>Grand Total</t>
  </si>
  <si>
    <t>E3: Select Region (drop-down)</t>
  </si>
  <si>
    <t>E3: Revenue for selected region</t>
  </si>
  <si>
    <t>BONUS 2: Revenue of 'Large' orders in selected region</t>
  </si>
  <si>
    <t>Sum of Revenue</t>
  </si>
  <si>
    <t>Aug-2024</t>
  </si>
  <si>
    <t>Dec-2024</t>
  </si>
  <si>
    <t>Feb-2024</t>
  </si>
  <si>
    <t>Mar-2024</t>
  </si>
  <si>
    <t>Oct-2024</t>
  </si>
  <si>
    <t>Top 5 Salespersons by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</si>
</sst>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quot;₹&quot;\ #,##0.00"/>
  </numFmts>
  <fonts count="10" x14ac:knownFonts="1">
    <font>
      <sz val="11"/>
      <color theme="1"/>
      <name val="Calibri"/>
      <family val="2"/>
      <scheme val="minor"/>
    </font>
    <font>
      <b/>
      <sz val="10"/>
      <color rgb="FFFFFFFF"/>
      <name val="Arial"/>
    </font>
    <font>
      <b/>
      <sz val="10"/>
      <color rgb="FF000000"/>
      <name val="Arial"/>
    </font>
    <font>
      <sz val="10"/>
      <name val="Arial"/>
    </font>
    <font>
      <b/>
      <sz val="13"/>
      <name val="Arial"/>
    </font>
    <font>
      <b/>
      <sz val="10"/>
      <name val="Arial"/>
    </font>
    <font>
      <b/>
      <sz val="18"/>
      <color rgb="FF1F2A5C"/>
      <name val="Arial"/>
    </font>
    <font>
      <b/>
      <sz val="11"/>
      <name val="Arial"/>
    </font>
    <font>
      <b/>
      <sz val="11"/>
      <color rgb="FFFFFFFF"/>
      <name val="Arial"/>
    </font>
    <font>
      <b/>
      <sz val="11"/>
      <color theme="1"/>
      <name val="Calibri"/>
      <family val="2"/>
      <scheme val="minor"/>
    </font>
  </fonts>
  <fills count="6">
    <fill>
      <patternFill patternType="none"/>
    </fill>
    <fill>
      <patternFill patternType="gray125"/>
    </fill>
    <fill>
      <patternFill patternType="solid">
        <fgColor rgb="FF1F2A5C"/>
      </patternFill>
    </fill>
    <fill>
      <patternFill patternType="solid">
        <fgColor rgb="FFFFE699"/>
      </patternFill>
    </fill>
    <fill>
      <patternFill patternType="solid">
        <fgColor rgb="FFD9E2F3"/>
      </patternFill>
    </fill>
    <fill>
      <patternFill patternType="solid">
        <fgColor rgb="FFFFFF00"/>
        <bgColor indexed="64"/>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s>
  <cellStyleXfs count="1">
    <xf numFmtId="0" fontId="0" fillId="0" borderId="0"/>
  </cellStyleXfs>
  <cellXfs count="31">
    <xf numFmtId="0" fontId="0" fillId="0" borderId="0" xfId="0"/>
    <xf numFmtId="0" fontId="6" fillId="0" borderId="0" xfId="0" applyFont="1"/>
    <xf numFmtId="0" fontId="7" fillId="0" borderId="0" xfId="0" applyFont="1"/>
    <xf numFmtId="0" fontId="8" fillId="2" borderId="0" xfId="0" applyFont="1" applyFill="1"/>
    <xf numFmtId="0" fontId="0" fillId="2" borderId="0" xfId="0" applyFill="1"/>
    <xf numFmtId="0" fontId="5" fillId="4" borderId="1" xfId="0" applyFont="1" applyFill="1" applyBorder="1"/>
    <xf numFmtId="0" fontId="3" fillId="0" borderId="1" xfId="0" applyFont="1" applyBorder="1" applyAlignment="1">
      <alignment horizontal="center" vertical="top" wrapText="1"/>
    </xf>
    <xf numFmtId="0" fontId="3" fillId="0" borderId="1" xfId="0" applyFont="1" applyBorder="1" applyAlignment="1">
      <alignment horizontal="left" vertical="top" wrapText="1"/>
    </xf>
    <xf numFmtId="0" fontId="1" fillId="2" borderId="1" xfId="0" applyFont="1" applyFill="1" applyBorder="1" applyAlignment="1">
      <alignment horizontal="center" vertical="center" wrapText="1"/>
    </xf>
    <xf numFmtId="0" fontId="3" fillId="0" borderId="0" xfId="0" applyFont="1"/>
    <xf numFmtId="164" fontId="3" fillId="0" borderId="0" xfId="0" applyNumberFormat="1" applyFont="1"/>
    <xf numFmtId="9" fontId="3" fillId="0" borderId="0" xfId="0" applyNumberFormat="1" applyFont="1"/>
    <xf numFmtId="0" fontId="3" fillId="0" borderId="1" xfId="0" applyFont="1" applyBorder="1"/>
    <xf numFmtId="3" fontId="3" fillId="0" borderId="1" xfId="0" applyNumberFormat="1" applyFont="1" applyBorder="1"/>
    <xf numFmtId="9" fontId="3" fillId="0" borderId="1" xfId="0" applyNumberFormat="1" applyFont="1" applyBorder="1"/>
    <xf numFmtId="0" fontId="4" fillId="0" borderId="0" xfId="0" applyFont="1"/>
    <xf numFmtId="0" fontId="5" fillId="0" borderId="0" xfId="0" applyFont="1"/>
    <xf numFmtId="0" fontId="3" fillId="3" borderId="1" xfId="0" applyFont="1" applyFill="1" applyBorder="1"/>
    <xf numFmtId="0" fontId="1" fillId="2" borderId="1" xfId="0" applyFont="1" applyFill="1" applyBorder="1" applyAlignment="1">
      <alignment horizontal="center" wrapText="1"/>
    </xf>
    <xf numFmtId="3" fontId="3" fillId="3" borderId="1" xfId="0" applyNumberFormat="1" applyFont="1" applyFill="1" applyBorder="1"/>
    <xf numFmtId="0" fontId="0" fillId="0" borderId="0" xfId="0" pivotButton="1"/>
    <xf numFmtId="0" fontId="0" fillId="0" borderId="0" xfId="0" applyAlignment="1">
      <alignment horizontal="left"/>
    </xf>
    <xf numFmtId="165" fontId="0" fillId="0" borderId="0" xfId="0" applyNumberFormat="1"/>
    <xf numFmtId="0" fontId="9" fillId="5" borderId="0" xfId="0" applyFont="1" applyFill="1"/>
    <xf numFmtId="0" fontId="5" fillId="0" borderId="0" xfId="0" applyFont="1" applyAlignment="1">
      <alignment vertical="top" wrapText="1"/>
    </xf>
    <xf numFmtId="0" fontId="0" fillId="0" borderId="0" xfId="0"/>
    <xf numFmtId="0" fontId="3" fillId="0" borderId="0" xfId="0" applyFont="1" applyAlignment="1">
      <alignment vertical="top" wrapText="1"/>
    </xf>
    <xf numFmtId="0" fontId="0" fillId="0" borderId="0" xfId="0" applyAlignment="1">
      <alignment horizontal="center"/>
    </xf>
    <xf numFmtId="0" fontId="0" fillId="0" borderId="0" xfId="0" applyNumberFormat="1"/>
    <xf numFmtId="0" fontId="1" fillId="2" borderId="2" xfId="0" applyFont="1" applyFill="1" applyBorder="1" applyAlignment="1">
      <alignment horizontal="center" vertical="center" wrapText="1"/>
    </xf>
    <xf numFmtId="0" fontId="2" fillId="3" borderId="2" xfId="0" applyFont="1" applyFill="1" applyBorder="1" applyAlignment="1">
      <alignment horizontal="center" vertical="center" wrapText="1"/>
    </xf>
  </cellXfs>
  <cellStyles count="1">
    <cellStyle name="Normal" xfId="0" builtinId="0"/>
  </cellStyles>
  <dxfs count="18">
    <dxf>
      <numFmt numFmtId="165" formatCode="&quot;₹&quot;\ #,##0.00"/>
    </dxf>
    <dxf>
      <font>
        <color rgb="FF9C0006"/>
      </font>
      <fill>
        <patternFill>
          <bgColor rgb="FFFFC7CE"/>
        </patternFill>
      </fill>
    </dxf>
    <dxf>
      <font>
        <color rgb="FF006100"/>
      </font>
      <fill>
        <patternFill>
          <bgColor rgb="FFC6EFCE"/>
        </patternFill>
      </fill>
    </dxf>
    <dxf>
      <font>
        <b/>
        <i val="0"/>
        <strike val="0"/>
        <condense val="0"/>
        <extend val="0"/>
        <outline val="0"/>
        <shadow val="0"/>
        <u val="none"/>
        <vertAlign val="baseline"/>
        <sz val="10"/>
        <color rgb="FF000000"/>
        <name val="Arial"/>
        <scheme val="none"/>
      </font>
      <fill>
        <patternFill patternType="solid">
          <fgColor indexed="64"/>
          <bgColor rgb="FFFFE699"/>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
      <numFmt numFmtId="166" formatCode="mmm/yyyy"/>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13" formatCode="0%"/>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164" formatCode="yyyy\-mm\-dd"/>
    </dxf>
    <dxf>
      <font>
        <b val="0"/>
        <i val="0"/>
        <strike val="0"/>
        <condense val="0"/>
        <extend val="0"/>
        <outline val="0"/>
        <shadow val="0"/>
        <u val="none"/>
        <vertAlign val="baseline"/>
        <sz val="10"/>
        <color auto="1"/>
        <name val="Arial"/>
        <scheme val="none"/>
      </font>
    </dxf>
    <dxf>
      <border outline="0">
        <bottom style="thin">
          <color rgb="FFBFBFBF"/>
        </bottom>
      </border>
    </dxf>
    <dxf>
      <border outline="0">
        <top style="thin">
          <color rgb="FFBFBFBF"/>
        </top>
      </border>
    </dxf>
    <dxf>
      <numFmt numFmtId="165" formatCode="&quot;₹&quot;\ #,##0.00"/>
    </dxf>
    <dxf>
      <numFmt numFmtId="165" formatCode="&quot;₹&quot;\ #,##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[Excel_Skills_Test_STUDENT.xlsx]Column Chart!PivotTable1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Total Revenue by Region</a:t>
            </a:r>
            <a:endParaRPr lang="en-US"/>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 Chart'!$B$3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'Column Chart'!$A$4:$A$5</c:f>
              <c:strCache>
                <c:ptCount val="1"/>
                <c:pt idx="0">
                  <c:v>North</c:v>
                </c:pt>
              </c:strCache>
            </c:strRef>
          </c:cat>
          <c:val>
            <c:numRef>
              <c:f>'Column Chart'!$B$4:$B$5</c:f>
              <c:numCache>
                <c:formatCode>"₹"\ #,##0.00</c:formatCode>
                <c:ptCount val="1"/>
                <c:pt idx="0">
                  <c:v>3440069</c:v>
                </c:pt>
              </c:numCache>
            </c:numRef>
          </c:val>
          <c:extLst>
            <c:ext xmlns:c16="http://schemas.microsoft.com/office/drawing/2014/chart" uri="{C3380CC4-5D6E-409C-BE32-E72D297353CC}">
              <c16:uniqueId val="{00000000-8C12-4B48-AF11-D828C753F4D0}"/>
            </c:ext>
          </c:extLst>
        </c:ser>
        <c:dLbls>
          <c:dLblPos val="outEnd"/>
          <c:showLegendKey val="0"/>
          <c:showVal val="1"/>
          <c:showCatName val="0"/>
          <c:showSerName val="0"/>
          <c:showPercent val="0"/>
          <c:showBubbleSize val="0"/>
        </c:dLbls>
        <c:gapWidth val="219"/>
        <c:overlap val="-27"/>
        <c:axId val="1089469312"/>
        <c:axId val="976956432"/>
      </c:barChart>
      <c:catAx>
        <c:axId val="1089469312"/>
        <c:scaling>
          <c:orientation val="minMax"/>
        </c:scaling>
        <c:delete val="0"/>
        <c:axPos val="b"/>
        <c:numFmt formatCode="General" sourceLinked="1"/>
        <c:majorTickMark val="none"/>
        <c:minorTickMark val="none"/>
        <c:tickLblPos val="nextTo"/>
        <c:spPr>
          <a:solidFill>
            <a:srgbClr val="FFFF00"/>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956432"/>
        <c:crosses val="autoZero"/>
        <c:auto val="1"/>
        <c:lblAlgn val="ctr"/>
        <c:lblOffset val="100"/>
        <c:noMultiLvlLbl val="0"/>
      </c:catAx>
      <c:valAx>
        <c:axId val="976956432"/>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469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00"/>
    </a:solidFill>
    <a:ln w="9525" cap="flat" cmpd="sng" algn="ctr">
      <a:solidFill>
        <a:schemeClr val="tx1">
          <a:lumMod val="15000"/>
          <a:lumOff val="85000"/>
        </a:schemeClr>
      </a:solidFill>
      <a:round/>
    </a:ln>
    <a:effectLst>
      <a:glow rad="63500">
        <a:schemeClr val="tx1">
          <a:lumMod val="50000"/>
          <a:lumOff val="50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[Excel_Skills_Test_STUDENT.xlsx]Top 5 Sales!PivotTable1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Salespersons by Revenue</a:t>
            </a:r>
          </a:p>
        </c:rich>
      </c:tx>
      <c:layout>
        <c:manualLayout>
          <c:xMode val="edge"/>
          <c:yMode val="edge"/>
          <c:x val="0.35737220705577999"/>
          <c:y val="5.0753324342744446E-2"/>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Sales'!$B$3</c:f>
              <c:strCache>
                <c:ptCount val="1"/>
                <c:pt idx="0">
                  <c:v>Total</c:v>
                </c:pt>
              </c:strCache>
            </c:strRef>
          </c:tx>
          <c:spPr>
            <a:solidFill>
              <a:schemeClr val="accent1"/>
            </a:solidFill>
            <a:ln>
              <a:noFill/>
            </a:ln>
            <a:effectLst/>
          </c:spPr>
          <c:invertIfNegative val="0"/>
          <c:cat>
            <c:strRef>
              <c:f>'Top 5 Sales'!$A$4:$A$9</c:f>
              <c:strCache>
                <c:ptCount val="5"/>
                <c:pt idx="0">
                  <c:v>Latha Menon</c:v>
                </c:pt>
                <c:pt idx="1">
                  <c:v>Kiran Shah</c:v>
                </c:pt>
                <c:pt idx="2">
                  <c:v>Sunita Rao</c:v>
                </c:pt>
                <c:pt idx="3">
                  <c:v>Amit Verma</c:v>
                </c:pt>
                <c:pt idx="4">
                  <c:v>Manoj Das</c:v>
                </c:pt>
              </c:strCache>
            </c:strRef>
          </c:cat>
          <c:val>
            <c:numRef>
              <c:f>'Top 5 Sales'!$B$4:$B$9</c:f>
              <c:numCache>
                <c:formatCode>"₹"\ #,##0.00</c:formatCode>
                <c:ptCount val="5"/>
                <c:pt idx="0">
                  <c:v>845049</c:v>
                </c:pt>
                <c:pt idx="1">
                  <c:v>769560</c:v>
                </c:pt>
                <c:pt idx="2">
                  <c:v>617676</c:v>
                </c:pt>
                <c:pt idx="3">
                  <c:v>551680</c:v>
                </c:pt>
                <c:pt idx="4">
                  <c:v>254935</c:v>
                </c:pt>
              </c:numCache>
            </c:numRef>
          </c:val>
          <c:extLst>
            <c:ext xmlns:c16="http://schemas.microsoft.com/office/drawing/2014/chart" uri="{C3380CC4-5D6E-409C-BE32-E72D297353CC}">
              <c16:uniqueId val="{00000000-B1C3-4BBA-BAD7-844271993163}"/>
            </c:ext>
          </c:extLst>
        </c:ser>
        <c:dLbls>
          <c:showLegendKey val="0"/>
          <c:showVal val="0"/>
          <c:showCatName val="0"/>
          <c:showSerName val="0"/>
          <c:showPercent val="0"/>
          <c:showBubbleSize val="0"/>
        </c:dLbls>
        <c:gapWidth val="182"/>
        <c:axId val="1693610912"/>
        <c:axId val="1082263408"/>
      </c:barChart>
      <c:catAx>
        <c:axId val="1693610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263408"/>
        <c:crosses val="autoZero"/>
        <c:auto val="1"/>
        <c:lblAlgn val="ctr"/>
        <c:lblOffset val="100"/>
        <c:noMultiLvlLbl val="0"/>
      </c:catAx>
      <c:valAx>
        <c:axId val="1082263408"/>
        <c:scaling>
          <c:orientation val="minMax"/>
        </c:scaling>
        <c:delete val="1"/>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crossAx val="1693610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[Excel_Skills_Test_STUDENT.xlsx]Line Chart!PivotTable2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Revenue Trend by Category (2024)</a:t>
            </a:r>
            <a:endParaRPr lang="en-IN"/>
          </a:p>
        </c:rich>
      </c:tx>
      <c:overlay val="0"/>
      <c:spPr>
        <a:solidFill>
          <a:schemeClr val="accent6"/>
        </a:solidFill>
        <a:ln>
          <a:solidFill>
            <a:schemeClr val="tx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 Chart'!$B$3:$B$4</c:f>
              <c:strCache>
                <c:ptCount val="1"/>
                <c:pt idx="0">
                  <c:v>Electronics</c:v>
                </c:pt>
              </c:strCache>
            </c:strRef>
          </c:tx>
          <c:spPr>
            <a:ln w="28575" cap="rnd">
              <a:solidFill>
                <a:schemeClr val="accent1"/>
              </a:solidFill>
              <a:round/>
            </a:ln>
            <a:effectLst/>
          </c:spPr>
          <c:marker>
            <c:symbol val="none"/>
          </c:marker>
          <c:cat>
            <c:strRef>
              <c:f>'Line Chart'!$A$5:$A$10</c:f>
              <c:strCache>
                <c:ptCount val="5"/>
                <c:pt idx="0">
                  <c:v>Feb-2024</c:v>
                </c:pt>
                <c:pt idx="1">
                  <c:v>Mar-2024</c:v>
                </c:pt>
                <c:pt idx="2">
                  <c:v>Aug-2024</c:v>
                </c:pt>
                <c:pt idx="3">
                  <c:v>Oct-2024</c:v>
                </c:pt>
                <c:pt idx="4">
                  <c:v>Dec-2024</c:v>
                </c:pt>
              </c:strCache>
            </c:strRef>
          </c:cat>
          <c:val>
            <c:numRef>
              <c:f>'Line Chart'!$B$5:$B$10</c:f>
              <c:numCache>
                <c:formatCode>General</c:formatCode>
                <c:ptCount val="5"/>
                <c:pt idx="0">
                  <c:v>57000</c:v>
                </c:pt>
                <c:pt idx="1">
                  <c:v>80750</c:v>
                </c:pt>
                <c:pt idx="2">
                  <c:v>8550</c:v>
                </c:pt>
                <c:pt idx="3">
                  <c:v>124450</c:v>
                </c:pt>
                <c:pt idx="4">
                  <c:v>19000</c:v>
                </c:pt>
              </c:numCache>
            </c:numRef>
          </c:val>
          <c:smooth val="0"/>
          <c:extLst>
            <c:ext xmlns:c16="http://schemas.microsoft.com/office/drawing/2014/chart" uri="{C3380CC4-5D6E-409C-BE32-E72D297353CC}">
              <c16:uniqueId val="{00000000-B6BB-4B84-8892-3C397D19F09D}"/>
            </c:ext>
          </c:extLst>
        </c:ser>
        <c:dLbls>
          <c:showLegendKey val="0"/>
          <c:showVal val="0"/>
          <c:showCatName val="0"/>
          <c:showSerName val="0"/>
          <c:showPercent val="0"/>
          <c:showBubbleSize val="0"/>
        </c:dLbls>
        <c:smooth val="0"/>
        <c:axId val="1248268384"/>
        <c:axId val="717750928"/>
      </c:lineChart>
      <c:catAx>
        <c:axId val="124826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750928"/>
        <c:crosses val="autoZero"/>
        <c:auto val="1"/>
        <c:lblAlgn val="ctr"/>
        <c:lblOffset val="100"/>
        <c:noMultiLvlLbl val="0"/>
      </c:catAx>
      <c:valAx>
        <c:axId val="717750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268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[Excel_Skills_Test_STUDENT.xlsx]Column Chart!PivotTable1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Total Revenue by Region</a:t>
            </a:r>
            <a:endParaRPr lang="en-US"/>
          </a:p>
        </c:rich>
      </c:tx>
      <c:layout>
        <c:manualLayout>
          <c:xMode val="edge"/>
          <c:yMode val="edge"/>
          <c:x val="0.29936111111111113"/>
          <c:y val="2.7777777777777776E-2"/>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 Chart'!$B$3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'Column Chart'!$A$4:$A$5</c:f>
              <c:strCache>
                <c:ptCount val="1"/>
                <c:pt idx="0">
                  <c:v>North</c:v>
                </c:pt>
              </c:strCache>
            </c:strRef>
          </c:cat>
          <c:val>
            <c:numRef>
              <c:f>'Column Chart'!$B$4:$B$5</c:f>
              <c:numCache>
                <c:formatCode>"₹"\ #,##0.00</c:formatCode>
                <c:ptCount val="1"/>
                <c:pt idx="0">
                  <c:v>3440069</c:v>
                </c:pt>
              </c:numCache>
            </c:numRef>
          </c:val>
          <c:extLst>
            <c:ext xmlns:c16="http://schemas.microsoft.com/office/drawing/2014/chart" uri="{C3380CC4-5D6E-409C-BE32-E72D297353CC}">
              <c16:uniqueId val="{00000000-B147-46AE-B699-7659A54F1A1C}"/>
            </c:ext>
          </c:extLst>
        </c:ser>
        <c:dLbls>
          <c:dLblPos val="outEnd"/>
          <c:showLegendKey val="0"/>
          <c:showVal val="1"/>
          <c:showCatName val="0"/>
          <c:showSerName val="0"/>
          <c:showPercent val="0"/>
          <c:showBubbleSize val="0"/>
        </c:dLbls>
        <c:gapWidth val="219"/>
        <c:overlap val="-27"/>
        <c:axId val="1089469312"/>
        <c:axId val="976956432"/>
      </c:barChart>
      <c:catAx>
        <c:axId val="1089469312"/>
        <c:scaling>
          <c:orientation val="minMax"/>
        </c:scaling>
        <c:delete val="0"/>
        <c:axPos val="b"/>
        <c:numFmt formatCode="General" sourceLinked="1"/>
        <c:majorTickMark val="none"/>
        <c:minorTickMark val="none"/>
        <c:tickLblPos val="nextTo"/>
        <c:spPr>
          <a:solidFill>
            <a:srgbClr val="FFFF00"/>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956432"/>
        <c:crosses val="autoZero"/>
        <c:auto val="1"/>
        <c:lblAlgn val="ctr"/>
        <c:lblOffset val="100"/>
        <c:noMultiLvlLbl val="0"/>
      </c:catAx>
      <c:valAx>
        <c:axId val="976956432"/>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469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00"/>
    </a:solidFill>
    <a:ln w="9525" cap="flat" cmpd="sng" algn="ctr">
      <a:solidFill>
        <a:schemeClr val="tx1">
          <a:lumMod val="15000"/>
          <a:lumOff val="85000"/>
        </a:schemeClr>
      </a:solidFill>
      <a:round/>
    </a:ln>
    <a:effectLst>
      <a:glow rad="63500">
        <a:schemeClr val="tx1">
          <a:lumMod val="50000"/>
          <a:lumOff val="50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[Excel_Skills_Test_STUDENT.xlsx]Top 5 Sales!PivotTable1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Salespersons by Revenue</a:t>
            </a:r>
          </a:p>
        </c:rich>
      </c:tx>
      <c:layout>
        <c:manualLayout>
          <c:xMode val="edge"/>
          <c:yMode val="edge"/>
          <c:x val="0.35737220705577999"/>
          <c:y val="5.0753324342744446E-2"/>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Sales'!$B$3</c:f>
              <c:strCache>
                <c:ptCount val="1"/>
                <c:pt idx="0">
                  <c:v>Total</c:v>
                </c:pt>
              </c:strCache>
            </c:strRef>
          </c:tx>
          <c:spPr>
            <a:solidFill>
              <a:schemeClr val="accent1"/>
            </a:solidFill>
            <a:ln>
              <a:noFill/>
            </a:ln>
            <a:effectLst/>
          </c:spPr>
          <c:invertIfNegative val="0"/>
          <c:cat>
            <c:strRef>
              <c:f>'Top 5 Sales'!$A$4:$A$9</c:f>
              <c:strCache>
                <c:ptCount val="5"/>
                <c:pt idx="0">
                  <c:v>Latha Menon</c:v>
                </c:pt>
                <c:pt idx="1">
                  <c:v>Kiran Shah</c:v>
                </c:pt>
                <c:pt idx="2">
                  <c:v>Sunita Rao</c:v>
                </c:pt>
                <c:pt idx="3">
                  <c:v>Amit Verma</c:v>
                </c:pt>
                <c:pt idx="4">
                  <c:v>Manoj Das</c:v>
                </c:pt>
              </c:strCache>
            </c:strRef>
          </c:cat>
          <c:val>
            <c:numRef>
              <c:f>'Top 5 Sales'!$B$4:$B$9</c:f>
              <c:numCache>
                <c:formatCode>"₹"\ #,##0.00</c:formatCode>
                <c:ptCount val="5"/>
                <c:pt idx="0">
                  <c:v>845049</c:v>
                </c:pt>
                <c:pt idx="1">
                  <c:v>769560</c:v>
                </c:pt>
                <c:pt idx="2">
                  <c:v>617676</c:v>
                </c:pt>
                <c:pt idx="3">
                  <c:v>551680</c:v>
                </c:pt>
                <c:pt idx="4">
                  <c:v>254935</c:v>
                </c:pt>
              </c:numCache>
            </c:numRef>
          </c:val>
          <c:extLst>
            <c:ext xmlns:c16="http://schemas.microsoft.com/office/drawing/2014/chart" uri="{C3380CC4-5D6E-409C-BE32-E72D297353CC}">
              <c16:uniqueId val="{00000000-184A-4E21-9CC3-2BA37F85C555}"/>
            </c:ext>
          </c:extLst>
        </c:ser>
        <c:dLbls>
          <c:showLegendKey val="0"/>
          <c:showVal val="0"/>
          <c:showCatName val="0"/>
          <c:showSerName val="0"/>
          <c:showPercent val="0"/>
          <c:showBubbleSize val="0"/>
        </c:dLbls>
        <c:gapWidth val="182"/>
        <c:axId val="1693610912"/>
        <c:axId val="1082263408"/>
      </c:barChart>
      <c:catAx>
        <c:axId val="1693610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263408"/>
        <c:crosses val="autoZero"/>
        <c:auto val="1"/>
        <c:lblAlgn val="ctr"/>
        <c:lblOffset val="100"/>
        <c:noMultiLvlLbl val="0"/>
      </c:catAx>
      <c:valAx>
        <c:axId val="1082263408"/>
        <c:scaling>
          <c:orientation val="minMax"/>
        </c:scaling>
        <c:delete val="1"/>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crossAx val="1693610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[Excel_Skills_Test_STUDENT.xlsx]Line Chart!PivotTable2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Revenue Trend by Category (2024)</a:t>
            </a:r>
            <a:endParaRPr lang="en-IN"/>
          </a:p>
        </c:rich>
      </c:tx>
      <c:overlay val="0"/>
      <c:spPr>
        <a:solidFill>
          <a:schemeClr val="accent6"/>
        </a:solidFill>
        <a:ln>
          <a:solidFill>
            <a:schemeClr val="tx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 Chart'!$B$3:$B$4</c:f>
              <c:strCache>
                <c:ptCount val="1"/>
                <c:pt idx="0">
                  <c:v>Electronics</c:v>
                </c:pt>
              </c:strCache>
            </c:strRef>
          </c:tx>
          <c:spPr>
            <a:ln w="28575" cap="rnd">
              <a:solidFill>
                <a:schemeClr val="accent1"/>
              </a:solidFill>
              <a:round/>
            </a:ln>
            <a:effectLst/>
          </c:spPr>
          <c:marker>
            <c:symbol val="none"/>
          </c:marker>
          <c:cat>
            <c:strRef>
              <c:f>'Line Chart'!$A$5:$A$10</c:f>
              <c:strCache>
                <c:ptCount val="5"/>
                <c:pt idx="0">
                  <c:v>Feb-2024</c:v>
                </c:pt>
                <c:pt idx="1">
                  <c:v>Mar-2024</c:v>
                </c:pt>
                <c:pt idx="2">
                  <c:v>Aug-2024</c:v>
                </c:pt>
                <c:pt idx="3">
                  <c:v>Oct-2024</c:v>
                </c:pt>
                <c:pt idx="4">
                  <c:v>Dec-2024</c:v>
                </c:pt>
              </c:strCache>
            </c:strRef>
          </c:cat>
          <c:val>
            <c:numRef>
              <c:f>'Line Chart'!$B$5:$B$10</c:f>
              <c:numCache>
                <c:formatCode>General</c:formatCode>
                <c:ptCount val="5"/>
                <c:pt idx="0">
                  <c:v>57000</c:v>
                </c:pt>
                <c:pt idx="1">
                  <c:v>80750</c:v>
                </c:pt>
                <c:pt idx="2">
                  <c:v>8550</c:v>
                </c:pt>
                <c:pt idx="3">
                  <c:v>124450</c:v>
                </c:pt>
                <c:pt idx="4">
                  <c:v>19000</c:v>
                </c:pt>
              </c:numCache>
            </c:numRef>
          </c:val>
          <c:smooth val="0"/>
          <c:extLst>
            <c:ext xmlns:c16="http://schemas.microsoft.com/office/drawing/2014/chart" uri="{C3380CC4-5D6E-409C-BE32-E72D297353CC}">
              <c16:uniqueId val="{00000000-27BA-489D-8421-0155D76A7E74}"/>
            </c:ext>
          </c:extLst>
        </c:ser>
        <c:dLbls>
          <c:showLegendKey val="0"/>
          <c:showVal val="0"/>
          <c:showCatName val="0"/>
          <c:showSerName val="0"/>
          <c:showPercent val="0"/>
          <c:showBubbleSize val="0"/>
        </c:dLbls>
        <c:smooth val="0"/>
        <c:axId val="1248268384"/>
        <c:axId val="717750928"/>
      </c:lineChart>
      <c:catAx>
        <c:axId val="124826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750928"/>
        <c:crosses val="autoZero"/>
        <c:auto val="1"/>
        <c:lblAlgn val="ctr"/>
        <c:lblOffset val="100"/>
        <c:noMultiLvlLbl val="0"/>
      </c:catAx>
      <c:valAx>
        <c:axId val="717750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268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266700</xdr:colOff>
      <xdr:row>4</xdr:row>
      <xdr:rowOff>41910</xdr:rowOff>
    </xdr:from>
    <xdr:to>
      <xdr:col>10</xdr:col>
      <xdr:colOff>571500</xdr:colOff>
      <xdr:row>19</xdr:row>
      <xdr:rowOff>41910</xdr:rowOff>
    </xdr:to>
    <xdr:graphicFrame macro="">
      <xdr:nvGraphicFramePr>
        <xdr:cNvPr id="2" name="Chart 1">
          <a:extLst>
            <a:ext uri="{FF2B5EF4-FFF2-40B4-BE49-F238E27FC236}">
              <a16:creationId xmlns:a16="http://schemas.microsoft.com/office/drawing/2014/main" id="{A00D5FAA-C1E3-5962-5ADC-88221124A5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198120</xdr:colOff>
      <xdr:row>7</xdr:row>
      <xdr:rowOff>148590</xdr:rowOff>
    </xdr:from>
    <xdr:to>
      <xdr:col>12</xdr:col>
      <xdr:colOff>30480</xdr:colOff>
      <xdr:row>26</xdr:row>
      <xdr:rowOff>121920</xdr:rowOff>
    </xdr:to>
    <xdr:graphicFrame macro="">
      <xdr:nvGraphicFramePr>
        <xdr:cNvPr id="2" name="Chart 1">
          <a:extLst>
            <a:ext uri="{FF2B5EF4-FFF2-40B4-BE49-F238E27FC236}">
              <a16:creationId xmlns:a16="http://schemas.microsoft.com/office/drawing/2014/main" id="{F1F443E8-9D64-DA78-D7A2-95E124EEE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236220</xdr:colOff>
      <xdr:row>2</xdr:row>
      <xdr:rowOff>83820</xdr:rowOff>
    </xdr:from>
    <xdr:to>
      <xdr:col>13</xdr:col>
      <xdr:colOff>365760</xdr:colOff>
      <xdr:row>18</xdr:row>
      <xdr:rowOff>30480</xdr:rowOff>
    </xdr:to>
    <xdr:graphicFrame macro="">
      <xdr:nvGraphicFramePr>
        <xdr:cNvPr id="2" name="Chart 1">
          <a:extLst>
            <a:ext uri="{FF2B5EF4-FFF2-40B4-BE49-F238E27FC236}">
              <a16:creationId xmlns:a16="http://schemas.microsoft.com/office/drawing/2014/main" id="{B2BFC4DA-8106-94C0-341C-58434C2ADC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22860</xdr:colOff>
      <xdr:row>0</xdr:row>
      <xdr:rowOff>22860</xdr:rowOff>
    </xdr:from>
    <xdr:to>
      <xdr:col>21</xdr:col>
      <xdr:colOff>525780</xdr:colOff>
      <xdr:row>4</xdr:row>
      <xdr:rowOff>129540</xdr:rowOff>
    </xdr:to>
    <xdr:sp macro="" textlink="">
      <xdr:nvSpPr>
        <xdr:cNvPr id="2" name="Rectangle: Rounded Corners 1">
          <a:extLst>
            <a:ext uri="{FF2B5EF4-FFF2-40B4-BE49-F238E27FC236}">
              <a16:creationId xmlns:a16="http://schemas.microsoft.com/office/drawing/2014/main" id="{390CDF2D-E312-7F4B-0B3C-BC1B36D4B926}"/>
            </a:ext>
          </a:extLst>
        </xdr:cNvPr>
        <xdr:cNvSpPr/>
      </xdr:nvSpPr>
      <xdr:spPr>
        <a:xfrm>
          <a:off x="22860" y="22860"/>
          <a:ext cx="13304520" cy="83820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510540</xdr:colOff>
      <xdr:row>0</xdr:row>
      <xdr:rowOff>152400</xdr:rowOff>
    </xdr:from>
    <xdr:to>
      <xdr:col>14</xdr:col>
      <xdr:colOff>548640</xdr:colOff>
      <xdr:row>3</xdr:row>
      <xdr:rowOff>144780</xdr:rowOff>
    </xdr:to>
    <xdr:sp macro="" textlink="">
      <xdr:nvSpPr>
        <xdr:cNvPr id="13313" name="Text Box 1">
          <a:extLst>
            <a:ext uri="{FF2B5EF4-FFF2-40B4-BE49-F238E27FC236}">
              <a16:creationId xmlns:a16="http://schemas.microsoft.com/office/drawing/2014/main" id="{6A4B0D67-02EC-BC23-736F-75BCE8538C2B}"/>
            </a:ext>
          </a:extLst>
        </xdr:cNvPr>
        <xdr:cNvSpPr txBox="1">
          <a:spLocks noChangeArrowheads="1"/>
        </xdr:cNvSpPr>
      </xdr:nvSpPr>
      <xdr:spPr bwMode="auto">
        <a:xfrm>
          <a:off x="3558540" y="152400"/>
          <a:ext cx="5524500" cy="54102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IN" sz="2800" b="1" i="0" u="none" strike="noStrike" baseline="0">
              <a:solidFill>
                <a:schemeClr val="tx1"/>
              </a:solidFill>
              <a:latin typeface="Calibri"/>
              <a:ea typeface="Calibri"/>
              <a:cs typeface="Calibri"/>
            </a:rPr>
            <a:t>Sales Performance Dashboard (2024)</a:t>
          </a:r>
        </a:p>
      </xdr:txBody>
    </xdr:sp>
    <xdr:clientData/>
  </xdr:twoCellAnchor>
  <xdr:twoCellAnchor>
    <xdr:from>
      <xdr:col>3</xdr:col>
      <xdr:colOff>351692</xdr:colOff>
      <xdr:row>4</xdr:row>
      <xdr:rowOff>144780</xdr:rowOff>
    </xdr:from>
    <xdr:to>
      <xdr:col>11</xdr:col>
      <xdr:colOff>419100</xdr:colOff>
      <xdr:row>20</xdr:row>
      <xdr:rowOff>53340</xdr:rowOff>
    </xdr:to>
    <xdr:graphicFrame macro="">
      <xdr:nvGraphicFramePr>
        <xdr:cNvPr id="3" name="Chart 2">
          <a:extLst>
            <a:ext uri="{FF2B5EF4-FFF2-40B4-BE49-F238E27FC236}">
              <a16:creationId xmlns:a16="http://schemas.microsoft.com/office/drawing/2014/main" id="{3DF61AFC-87F4-4F74-9AC9-4C56B96095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434340</xdr:colOff>
      <xdr:row>4</xdr:row>
      <xdr:rowOff>152400</xdr:rowOff>
    </xdr:from>
    <xdr:to>
      <xdr:col>21</xdr:col>
      <xdr:colOff>457200</xdr:colOff>
      <xdr:row>20</xdr:row>
      <xdr:rowOff>68580</xdr:rowOff>
    </xdr:to>
    <xdr:graphicFrame macro="">
      <xdr:nvGraphicFramePr>
        <xdr:cNvPr id="5" name="Chart 4">
          <a:extLst>
            <a:ext uri="{FF2B5EF4-FFF2-40B4-BE49-F238E27FC236}">
              <a16:creationId xmlns:a16="http://schemas.microsoft.com/office/drawing/2014/main" id="{C789B94E-41D7-4C89-9AF4-C11F808610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4</xdr:row>
      <xdr:rowOff>169566</xdr:rowOff>
    </xdr:from>
    <xdr:to>
      <xdr:col>3</xdr:col>
      <xdr:colOff>286870</xdr:colOff>
      <xdr:row>18</xdr:row>
      <xdr:rowOff>41868</xdr:rowOff>
    </xdr:to>
    <mc:AlternateContent xmlns:mc="http://schemas.openxmlformats.org/markup-compatibility/2006">
      <mc:Choice xmlns:a14="http://schemas.microsoft.com/office/drawing/2010/main" Requires="a14">
        <xdr:graphicFrame macro="">
          <xdr:nvGraphicFramePr>
            <xdr:cNvPr id="8" name="Region_Clean">
              <a:extLst>
                <a:ext uri="{FF2B5EF4-FFF2-40B4-BE49-F238E27FC236}">
                  <a16:creationId xmlns:a16="http://schemas.microsoft.com/office/drawing/2014/main" id="{A66B758B-40F7-E45C-FF40-B3A9DAD07E52}"/>
                </a:ext>
              </a:extLst>
            </xdr:cNvPr>
            <xdr:cNvGraphicFramePr/>
          </xdr:nvGraphicFramePr>
          <xdr:xfrm>
            <a:off x="0" y="0"/>
            <a:ext cx="0" cy="0"/>
          </xdr:xfrm>
          <a:graphic>
            <a:graphicData uri="http://schemas.microsoft.com/office/drawing/2010/slicer">
              <sle:slicer xmlns:sle="http://schemas.microsoft.com/office/drawing/2010/slicer" name="Region_Clean"/>
            </a:graphicData>
          </a:graphic>
        </xdr:graphicFrame>
      </mc:Choice>
      <mc:Fallback>
        <xdr:sp macro="" textlink="">
          <xdr:nvSpPr>
            <xdr:cNvPr id="0" name=""/>
            <xdr:cNvSpPr>
              <a:spLocks noTextEdit="1"/>
            </xdr:cNvSpPr>
          </xdr:nvSpPr>
          <xdr:spPr>
            <a:xfrm>
              <a:off x="0" y="886742"/>
              <a:ext cx="2115670" cy="2382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331695</xdr:colOff>
      <xdr:row>20</xdr:row>
      <xdr:rowOff>62753</xdr:rowOff>
    </xdr:from>
    <xdr:to>
      <xdr:col>21</xdr:col>
      <xdr:colOff>430307</xdr:colOff>
      <xdr:row>36</xdr:row>
      <xdr:rowOff>170330</xdr:rowOff>
    </xdr:to>
    <xdr:graphicFrame macro="">
      <xdr:nvGraphicFramePr>
        <xdr:cNvPr id="10" name="Chart 9">
          <a:extLst>
            <a:ext uri="{FF2B5EF4-FFF2-40B4-BE49-F238E27FC236}">
              <a16:creationId xmlns:a16="http://schemas.microsoft.com/office/drawing/2014/main" id="{FB4F4741-BEEC-467D-8CBC-9885B2AE00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18</xdr:row>
      <xdr:rowOff>80682</xdr:rowOff>
    </xdr:from>
    <xdr:to>
      <xdr:col>3</xdr:col>
      <xdr:colOff>229496</xdr:colOff>
      <xdr:row>36</xdr:row>
      <xdr:rowOff>161365</xdr:rowOff>
    </xdr:to>
    <mc:AlternateContent xmlns:mc="http://schemas.openxmlformats.org/markup-compatibility/2006">
      <mc:Choice xmlns:a14="http://schemas.microsoft.com/office/drawing/2010/main" Requires="a14">
        <xdr:graphicFrame macro="">
          <xdr:nvGraphicFramePr>
            <xdr:cNvPr id="11" name="ProductName">
              <a:extLst>
                <a:ext uri="{FF2B5EF4-FFF2-40B4-BE49-F238E27FC236}">
                  <a16:creationId xmlns:a16="http://schemas.microsoft.com/office/drawing/2014/main" id="{D01DEA2F-8352-A9F2-29B2-69A0FD7CC7C4}"/>
                </a:ext>
              </a:extLst>
            </xdr:cNvPr>
            <xdr:cNvGraphicFramePr/>
          </xdr:nvGraphicFramePr>
          <xdr:xfrm>
            <a:off x="0" y="0"/>
            <a:ext cx="0" cy="0"/>
          </xdr:xfrm>
          <a:graphic>
            <a:graphicData uri="http://schemas.microsoft.com/office/drawing/2010/slicer">
              <sle:slicer xmlns:sle="http://schemas.microsoft.com/office/drawing/2010/slicer" name="ProductName"/>
            </a:graphicData>
          </a:graphic>
        </xdr:graphicFrame>
      </mc:Choice>
      <mc:Fallback>
        <xdr:sp macro="" textlink="">
          <xdr:nvSpPr>
            <xdr:cNvPr id="0" name=""/>
            <xdr:cNvSpPr>
              <a:spLocks noTextEdit="1"/>
            </xdr:cNvSpPr>
          </xdr:nvSpPr>
          <xdr:spPr>
            <a:xfrm>
              <a:off x="0" y="3307976"/>
              <a:ext cx="2058296" cy="33079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dul" refreshedDate="46308.447829398145" createdVersion="8" refreshedVersion="8" minRefreshableVersion="3" recordCount="200" xr:uid="{EC74D61E-9DDD-4012-82A6-C2272D07EE78}">
  <cacheSource type="worksheet">
    <worksheetSource ref="A1:W201" sheet="Orders"/>
  </cacheSource>
  <cacheFields count="23">
    <cacheField name="OrderID" numFmtId="0">
      <sharedItems/>
    </cacheField>
    <cacheField name="OrderDate" numFmtId="164">
      <sharedItems containsSemiMixedTypes="0" containsNonDate="0" containsDate="1" containsString="0" minDate="2024-01-01T00:00:00" maxDate="2024-12-29T00:00:00"/>
    </cacheField>
    <cacheField name="CustomerID" numFmtId="0">
      <sharedItems/>
    </cacheField>
    <cacheField name="ProductID" numFmtId="0">
      <sharedItems/>
    </cacheField>
    <cacheField name="Region" numFmtId="0">
      <sharedItems count="9">
        <s v=" South"/>
        <s v="North"/>
        <s v="West"/>
        <s v="East"/>
        <s v="south"/>
        <s v=" North"/>
        <s v="West "/>
        <s v=" West"/>
        <s v="South "/>
      </sharedItems>
    </cacheField>
    <cacheField name="Salesperson" numFmtId="0">
      <sharedItems/>
    </cacheField>
    <cacheField name="Quantity" numFmtId="0">
      <sharedItems containsSemiMixedTypes="0" containsString="0" containsNumber="1" containsInteger="1" minValue="1" maxValue="10"/>
    </cacheField>
    <cacheField name="Discount" numFmtId="9">
      <sharedItems containsSemiMixedTypes="0" containsString="0" containsNumber="1" minValue="0" maxValue="0.15"/>
    </cacheField>
    <cacheField name="PaymentStatus" numFmtId="0">
      <sharedItems/>
    </cacheField>
    <cacheField name="Salesperson_Clean" numFmtId="0">
      <sharedItems count="8">
        <s v="Manoj Das"/>
        <s v="Kiran Shah"/>
        <s v="Pooja Nair"/>
        <s v="Amit Verma"/>
        <s v="Latha Menon"/>
        <s v="Sunita Rao"/>
        <s v="Faisal Khan"/>
        <s v="Reena Joshi"/>
      </sharedItems>
    </cacheField>
    <cacheField name="Region_Clean" numFmtId="0">
      <sharedItems count="4">
        <s v="South"/>
        <s v="North"/>
        <s v="West"/>
        <s v="East"/>
      </sharedItems>
    </cacheField>
    <cacheField name="ProductID_Clean" numFmtId="0">
      <sharedItems/>
    </cacheField>
    <cacheField name="ProductName" numFmtId="0">
      <sharedItems/>
    </cacheField>
    <cacheField name="Category" numFmtId="0">
      <sharedItems/>
    </cacheField>
    <cacheField name="UnitPrice" numFmtId="0">
      <sharedItems containsSemiMixedTypes="0" containsString="0" containsNumber="1" containsInteger="1" minValue="0" maxValue="55000"/>
    </cacheField>
    <cacheField name="CustomerCity" numFmtId="0">
      <sharedItems/>
    </cacheField>
    <cacheField name="Revenue" numFmtId="0">
      <sharedItems containsSemiMixedTypes="0" containsString="0" containsNumber="1" minValue="0" maxValue="550000"/>
    </cacheField>
    <cacheField name="Month" numFmtId="0">
      <sharedItems containsDate="1" containsMixedTypes="1" minDate="2024-01-01T00:00:00" maxDate="2024-12-02T00:00:00"/>
    </cacheField>
    <cacheField name="OrderSize" numFmtId="0">
      <sharedItems/>
    </cacheField>
    <cacheField name="CommissionPct" numFmtId="0">
      <sharedItems containsSemiMixedTypes="0" containsString="0" containsNumber="1" minValue="0.02" maxValue="0.06"/>
    </cacheField>
    <cacheField name="CommissionAmt" numFmtId="0">
      <sharedItems containsSemiMixedTypes="0" containsString="0" containsNumber="1" minValue="0" maxValue="33000"/>
    </cacheField>
    <cacheField name="FollowUp" numFmtId="0">
      <sharedItems count="2">
        <s v="OK"/>
        <s v="Follow Up"/>
      </sharedItems>
    </cacheField>
    <cacheField name="Segment_BONUS" numFmtId="0">
      <sharedItems/>
    </cacheField>
  </cacheFields>
  <extLst>
    <ext xmlns:x14="http://schemas.microsoft.com/office/spreadsheetml/2009/9/main" uri="{725AE2AE-9491-48be-B2B4-4EB974FC3084}">
      <x14:pivotCacheDefinition pivotCacheId="37539224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 refreshedDate="46308.513164351854" backgroundQuery="1" createdVersion="8" refreshedVersion="8" minRefreshableVersion="3" recordCount="0" supportSubquery="1" supportAdvancedDrill="1" xr:uid="{284A7A8C-BEBB-47F7-B7FB-F7EAEFC14798}">
  <cacheSource type="external" connectionId="1"/>
  <cacheFields count="4">
    <cacheField name="[Range].[Category].[Category]" caption="Category" numFmtId="0" hierarchy="13" level="1">
      <sharedItems count="5">
        <s v="Electronics"/>
        <s v="Grocery" u="1"/>
        <s v="Furniture" u="1"/>
        <s v="Stationery" u="1"/>
        <s v="Clothing" u="1"/>
      </sharedItems>
    </cacheField>
    <cacheField name="[Range].[Month].[Month]" caption="Month" numFmtId="0" hierarchy="17" level="1">
      <sharedItems count="12">
        <s v="Aug-2024"/>
        <s v="Dec-2024"/>
        <s v="Feb-2024"/>
        <s v="Mar-2024"/>
        <s v="Oct-2024"/>
        <s v="Apr-2024" u="1"/>
        <s v="Jun-2024" u="1"/>
        <s v="Nov-2024" u="1"/>
        <s v="Jul-2024" u="1"/>
        <s v="May-2024" u="1"/>
        <s v="Sep-2024" u="1"/>
        <s v="Jan-2024" u="1"/>
      </sharedItems>
    </cacheField>
    <cacheField name="[Measures].[Sum of Revenue]" caption="Sum of Revenue" numFmtId="0" hierarchy="25" level="32767"/>
    <cacheField name="[Range].[ProductName].[ProductName]" caption="ProductName" numFmtId="0" hierarchy="12" level="1">
      <sharedItems containsSemiMixedTypes="0" containsNonDate="0" containsString="0"/>
    </cacheField>
  </cacheFields>
  <cacheHierarchies count="26">
    <cacheHierarchy uniqueName="[Range].[OrderID]" caption="OrderID" attribute="1" defaultMemberUniqueName="[Range].[OrderID].[All]" allUniqueName="[Range].[OrderID].[All]" dimensionUniqueName="[Range]" displayFolder="" count="2" memberValueDatatype="130" unbalanced="0"/>
    <cacheHierarchy uniqueName="[Range].[OrderDate]" caption="OrderDate" attribute="1" time="1" defaultMemberUniqueName="[Range].[OrderDate].[All]" allUniqueName="[Range].[OrderDate].[All]" dimensionUniqueName="[Range]" displayFolder="" count="2" memberValueDatatype="7" unbalanced="0"/>
    <cacheHierarchy uniqueName="[Range].[CustomerID]" caption="CustomerID" attribute="1" defaultMemberUniqueName="[Range].[CustomerID].[All]" allUniqueName="[Range].[CustomerID].[All]" dimensionUniqueName="[Range]" displayFolder="" count="2" memberValueDatatype="130" unbalanced="0"/>
    <cacheHierarchy uniqueName="[Range].[ProductID]" caption="ProductID" attribute="1" defaultMemberUniqueName="[Range].[ProductID].[All]" allUniqueName="[Range].[ProductID].[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Salesperson]" caption="Salesperson" attribute="1" defaultMemberUniqueName="[Range].[Salesperson].[All]" allUniqueName="[Range].[Salesperson].[All]" dimensionUniqueName="[Range]" displayFolder="" count="2" memberValueDatatype="130" unbalanced="0"/>
    <cacheHierarchy uniqueName="[Range].[Quantity]" caption="Quantity" attribute="1" defaultMemberUniqueName="[Range].[Quantity].[All]" allUniqueName="[Range].[Quantity].[All]" dimensionUniqueName="[Range]" displayFolder="" count="2" memberValueDatatype="20" unbalanced="0"/>
    <cacheHierarchy uniqueName="[Range].[Discount]" caption="Discount" attribute="1" defaultMemberUniqueName="[Range].[Discount].[All]" allUniqueName="[Range].[Discount].[All]" dimensionUniqueName="[Range]" displayFolder="" count="2" memberValueDatatype="5" unbalanced="0"/>
    <cacheHierarchy uniqueName="[Range].[PaymentStatus]" caption="PaymentStatus" attribute="1" defaultMemberUniqueName="[Range].[PaymentStatus].[All]" allUniqueName="[Range].[PaymentStatus].[All]" dimensionUniqueName="[Range]" displayFolder="" count="2" memberValueDatatype="130" unbalanced="0"/>
    <cacheHierarchy uniqueName="[Range].[Salesperson_Clean]" caption="Salesperson_Clean" attribute="1" defaultMemberUniqueName="[Range].[Salesperson_Clean].[All]" allUniqueName="[Range].[Salesperson_Clean].[All]" dimensionUniqueName="[Range]" displayFolder="" count="2" memberValueDatatype="130" unbalanced="0"/>
    <cacheHierarchy uniqueName="[Range].[Region_Clean]" caption="Region_Clean" attribute="1" defaultMemberUniqueName="[Range].[Region_Clean].[All]" allUniqueName="[Range].[Region_Clean].[All]" dimensionUniqueName="[Range]" displayFolder="" count="2" memberValueDatatype="130" unbalanced="0"/>
    <cacheHierarchy uniqueName="[Range].[ProductID_Clean]" caption="ProductID_Clean" attribute="1" defaultMemberUniqueName="[Range].[ProductID_Clean].[All]" allUniqueName="[Range].[ProductID_Clean].[All]" dimensionUniqueName="[Range]" displayFolder="" count="2" memberValueDatatype="130" unbalanced="0"/>
    <cacheHierarchy uniqueName="[Range].[ProductName]" caption="ProductName" attribute="1" defaultMemberUniqueName="[Range].[ProductName].[All]" allUniqueName="[Range].[ProductName].[All]" dimensionUniqueName="[Range]" displayFolder="" count="2" memberValueDatatype="130" unbalanced="0">
      <fieldsUsage count="2">
        <fieldUsage x="-1"/>
        <fieldUsage x="3"/>
      </fieldsUsage>
    </cacheHierarchy>
    <cacheHierarchy uniqueName="[Range].[Category]" caption="Category" attribute="1" defaultMemberUniqueName="[Range].[Category].[All]" allUniqueName="[Range].[Category].[All]" dimensionUniqueName="[Range]" displayFolder="" count="2" memberValueDatatype="130" unbalanced="0">
      <fieldsUsage count="2">
        <fieldUsage x="-1"/>
        <fieldUsage x="0"/>
      </fieldsUsage>
    </cacheHierarchy>
    <cacheHierarchy uniqueName="[Range].[UnitPrice]" caption="UnitPrice" attribute="1" defaultMemberUniqueName="[Range].[UnitPrice].[All]" allUniqueName="[Range].[UnitPrice].[All]" dimensionUniqueName="[Range]" displayFolder="" count="2" memberValueDatatype="20" unbalanced="0"/>
    <cacheHierarchy uniqueName="[Range].[CustomerCity]" caption="CustomerCity" attribute="1" defaultMemberUniqueName="[Range].[CustomerCity].[All]" allUniqueName="[Range].[CustomerCity].[All]" dimensionUniqueName="[Range]" displayFolder="" count="2" memberValueDatatype="130" unbalanced="0"/>
    <cacheHierarchy uniqueName="[Range].[Revenue]" caption="Revenue" attribute="1" defaultMemberUniqueName="[Range].[Revenue].[All]" allUniqueName="[Range].[Revenue].[All]" dimensionUniqueName="[Range]" displayFolder="" count="2" memberValueDatatype="5" unbalanced="0"/>
    <cacheHierarchy uniqueName="[Range].[Month]" caption="Month" attribute="1" defaultMemberUniqueName="[Range].[Month].[All]" allUniqueName="[Range].[Month].[All]" dimensionUniqueName="[Range]" displayFolder="" count="2" memberValueDatatype="130" unbalanced="0">
      <fieldsUsage count="2">
        <fieldUsage x="-1"/>
        <fieldUsage x="1"/>
      </fieldsUsage>
    </cacheHierarchy>
    <cacheHierarchy uniqueName="[Range].[OrderSize]" caption="OrderSize" attribute="1" defaultMemberUniqueName="[Range].[OrderSize].[All]" allUniqueName="[Range].[OrderSize].[All]" dimensionUniqueName="[Range]" displayFolder="" count="2" memberValueDatatype="130" unbalanced="0"/>
    <cacheHierarchy uniqueName="[Range].[CommissionPct]" caption="CommissionPct" attribute="1" defaultMemberUniqueName="[Range].[CommissionPct].[All]" allUniqueName="[Range].[CommissionPct].[All]" dimensionUniqueName="[Range]" displayFolder="" count="2" memberValueDatatype="5" unbalanced="0"/>
    <cacheHierarchy uniqueName="[Range].[CommissionAmt]" caption="CommissionAmt" attribute="1" defaultMemberUniqueName="[Range].[CommissionAmt].[All]" allUniqueName="[Range].[CommissionAmt].[All]" dimensionUniqueName="[Range]" displayFolder="" count="2" memberValueDatatype="5" unbalanced="0"/>
    <cacheHierarchy uniqueName="[Range].[FollowUp]" caption="FollowUp" attribute="1" defaultMemberUniqueName="[Range].[FollowUp].[All]" allUniqueName="[Range].[FollowUp].[All]" dimensionUniqueName="[Range]" displayFolder="" count="2" memberValueDatatype="130" unbalanced="0"/>
    <cacheHierarchy uniqueName="[Range].[Segment_BONUS]" caption="Segment_BONUS" attribute="1" defaultMemberUniqueName="[Range].[Segment_BONUS].[All]" allUniqueName="[Range].[Segment_BONUS].[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venue]" caption="Sum of Revenue" measure="1" displayFolder="" measureGroup="Range" count="0" oneField="1" hidden="1">
      <fieldsUsage count="1">
        <fieldUsage x="2"/>
      </fieldsUsage>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 refreshedDate="46308.457387037037" backgroundQuery="1" createdVersion="3" refreshedVersion="8" minRefreshableVersion="3" recordCount="0" supportSubquery="1" supportAdvancedDrill="1" xr:uid="{A332B191-3026-4B3C-A370-38D9560A879F}">
  <cacheSource type="external" connectionId="1">
    <extLst>
      <ext xmlns:x14="http://schemas.microsoft.com/office/spreadsheetml/2009/9/main" uri="{F057638F-6D5F-4e77-A914-E7F072B9BCA8}">
        <x14:sourceConnection name="ThisWorkbookDataModel"/>
      </ext>
    </extLst>
  </cacheSource>
  <cacheFields count="0"/>
  <cacheHierarchies count="26">
    <cacheHierarchy uniqueName="[Range].[OrderID]" caption="OrderID" attribute="1" defaultMemberUniqueName="[Range].[OrderID].[All]" allUniqueName="[Range].[OrderID].[All]" dimensionUniqueName="[Range]" displayFolder="" count="0" memberValueDatatype="130" unbalanced="0"/>
    <cacheHierarchy uniqueName="[Range].[OrderDate]" caption="OrderDate" attribute="1" time="1" defaultMemberUniqueName="[Range].[OrderDate].[All]" allUniqueName="[Range].[OrderDate].[All]" dimensionUniqueName="[Range]" displayFolder="" count="0" memberValueDatatype="7" unbalanced="0"/>
    <cacheHierarchy uniqueName="[Range].[CustomerID]" caption="CustomerID" attribute="1" defaultMemberUniqueName="[Range].[CustomerID].[All]" allUniqueName="[Range].[CustomerID].[All]" dimensionUniqueName="[Range]" displayFolder="" count="0" memberValueDatatype="130" unbalanced="0"/>
    <cacheHierarchy uniqueName="[Range].[ProductID]" caption="ProductID" attribute="1" defaultMemberUniqueName="[Range].[ProductID].[All]" allUniqueName="[Range].[ProductID].[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aymentStatus]" caption="PaymentStatus" attribute="1" defaultMemberUniqueName="[Range].[PaymentStatus].[All]" allUniqueName="[Range].[PaymentStatus].[All]" dimensionUniqueName="[Range]" displayFolder="" count="0" memberValueDatatype="130" unbalanced="0"/>
    <cacheHierarchy uniqueName="[Range].[Salesperson_Clean]" caption="Salesperson_Clean" attribute="1" defaultMemberUniqueName="[Range].[Salesperson_Clean].[All]" allUniqueName="[Range].[Salesperson_Clean].[All]" dimensionUniqueName="[Range]" displayFolder="" count="0" memberValueDatatype="130" unbalanced="0"/>
    <cacheHierarchy uniqueName="[Range].[Region_Clean]" caption="Region_Clean" attribute="1" defaultMemberUniqueName="[Range].[Region_Clean].[All]" allUniqueName="[Range].[Region_Clean].[All]" dimensionUniqueName="[Range]" displayFolder="" count="0" memberValueDatatype="130" unbalanced="0"/>
    <cacheHierarchy uniqueName="[Range].[ProductID_Clean]" caption="ProductID_Clean" attribute="1" defaultMemberUniqueName="[Range].[ProductID_Clean].[All]" allUniqueName="[Range].[ProductID_Clean].[All]" dimensionUniqueName="[Range]" displayFolder="" count="0" memberValueDatatype="130" unbalanced="0"/>
    <cacheHierarchy uniqueName="[Range].[ProductName]" caption="ProductName" attribute="1" defaultMemberUniqueName="[Range].[ProductName].[All]" allUniqueName="[Range].[ProductName].[All]" dimensionUniqueName="[Range]" displayFolder="" count="2"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UnitPrice]" caption="UnitPrice" attribute="1" defaultMemberUniqueName="[Range].[UnitPrice].[All]" allUniqueName="[Range].[UnitPrice].[All]" dimensionUniqueName="[Range]" displayFolder="" count="0" memberValueDatatype="20" unbalanced="0"/>
    <cacheHierarchy uniqueName="[Range].[CustomerCity]" caption="CustomerCity" attribute="1" defaultMemberUniqueName="[Range].[CustomerCity].[All]" allUniqueName="[Range].[CustomerCity].[All]" dimensionUniqueName="[Range]" displayFolder="" count="0" memberValueDatatype="130" unbalanced="0"/>
    <cacheHierarchy uniqueName="[Range].[Revenue]" caption="Revenue" attribute="1" defaultMemberUniqueName="[Range].[Revenue].[All]" allUniqueName="[Range].[Revenue].[All]" dimensionUniqueName="[Range]" displayFolder="" count="0" memberValueDatatype="5" unbalanced="0"/>
    <cacheHierarchy uniqueName="[Range].[Month]" caption="Month" attribute="1" defaultMemberUniqueName="[Range].[Month].[All]" allUniqueName="[Range].[Month].[All]" dimensionUniqueName="[Range]" displayFolder="" count="0" memberValueDatatype="130" unbalanced="0"/>
    <cacheHierarchy uniqueName="[Range].[OrderSize]" caption="OrderSize" attribute="1" defaultMemberUniqueName="[Range].[OrderSize].[All]" allUniqueName="[Range].[OrderSize].[All]" dimensionUniqueName="[Range]" displayFolder="" count="0" memberValueDatatype="130" unbalanced="0"/>
    <cacheHierarchy uniqueName="[Range].[CommissionPct]" caption="CommissionPct" attribute="1" defaultMemberUniqueName="[Range].[CommissionPct].[All]" allUniqueName="[Range].[CommissionPct].[All]" dimensionUniqueName="[Range]" displayFolder="" count="0" memberValueDatatype="5" unbalanced="0"/>
    <cacheHierarchy uniqueName="[Range].[CommissionAmt]" caption="CommissionAmt" attribute="1" defaultMemberUniqueName="[Range].[CommissionAmt].[All]" allUniqueName="[Range].[CommissionAmt].[All]" dimensionUniqueName="[Range]" displayFolder="" count="0" memberValueDatatype="5" unbalanced="0"/>
    <cacheHierarchy uniqueName="[Range].[FollowUp]" caption="FollowUp" attribute="1" defaultMemberUniqueName="[Range].[FollowUp].[All]" allUniqueName="[Range].[FollowUp].[All]" dimensionUniqueName="[Range]" displayFolder="" count="0" memberValueDatatype="130" unbalanced="0"/>
    <cacheHierarchy uniqueName="[Range].[Segment_BONUS]" caption="Segment_BONUS" attribute="1" defaultMemberUniqueName="[Range].[Segment_BONUS].[All]" allUniqueName="[Range].[Segment_BONUS].[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1970414230"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ORD2176"/>
    <d v="2024-03-28T00:00:00"/>
    <s v="C1028"/>
    <s v="P101"/>
    <x v="0"/>
    <s v="Manoj Das"/>
    <n v="1"/>
    <n v="0"/>
    <s v="Paid"/>
    <x v="0"/>
    <x v="0"/>
    <s v="P101"/>
    <s v="Laptop"/>
    <s v="Electronics"/>
    <n v="55000"/>
    <s v="Bengaluru"/>
    <n v="55000"/>
    <s v="Mar-2024"/>
    <s v="Large"/>
    <n v="0.05"/>
    <n v="2750"/>
    <x v="0"/>
    <s v="Consumer"/>
  </r>
  <r>
    <s v="ORD2020"/>
    <d v="2024-03-08T00:00:00"/>
    <s v="C1002"/>
    <s v="P101"/>
    <x v="1"/>
    <s v="Kiran Shah"/>
    <n v="7"/>
    <n v="0"/>
    <s v="Paid"/>
    <x v="1"/>
    <x v="1"/>
    <s v="P101"/>
    <s v="Laptop"/>
    <s v="Electronics"/>
    <n v="55000"/>
    <s v="Pune"/>
    <n v="385000"/>
    <s v="Mar-2024"/>
    <s v="Large"/>
    <n v="0.06"/>
    <n v="23100"/>
    <x v="0"/>
    <s v="Home Office"/>
  </r>
  <r>
    <s v="ORD2158"/>
    <d v="2024-02-01T00:00:00"/>
    <s v="C1035"/>
    <s v="P101"/>
    <x v="2"/>
    <s v="Kiran Shah"/>
    <n v="4"/>
    <n v="0"/>
    <s v="Paid"/>
    <x v="1"/>
    <x v="2"/>
    <s v="P101"/>
    <s v="Laptop"/>
    <s v="Electronics"/>
    <n v="55000"/>
    <s v="Mumbai"/>
    <n v="220000"/>
    <s v="Feb-2024"/>
    <s v="Large"/>
    <n v="0.06"/>
    <n v="13200"/>
    <x v="0"/>
    <s v="Home Office"/>
  </r>
  <r>
    <s v="ORD2052"/>
    <d v="2024-05-07T00:00:00"/>
    <s v="C1033"/>
    <s v="P101"/>
    <x v="1"/>
    <s v="Manoj Das"/>
    <n v="2"/>
    <n v="0"/>
    <s v="Pending"/>
    <x v="0"/>
    <x v="1"/>
    <s v="P101"/>
    <s v="Laptop"/>
    <s v="Electronics"/>
    <n v="55000"/>
    <s v="Delhi"/>
    <n v="110000"/>
    <s v="May-2024"/>
    <s v="Large"/>
    <n v="0.06"/>
    <n v="6600"/>
    <x v="1"/>
    <s v="Consumer"/>
  </r>
  <r>
    <s v="ORD2074"/>
    <d v="2024-07-10T00:00:00"/>
    <s v="C1028"/>
    <s v="P101"/>
    <x v="2"/>
    <s v="Pooja Nair"/>
    <n v="2"/>
    <n v="0"/>
    <s v="Pending"/>
    <x v="2"/>
    <x v="2"/>
    <s v="P101"/>
    <s v="Laptop"/>
    <s v="Electronics"/>
    <n v="55000"/>
    <s v="Bengaluru"/>
    <n v="110000"/>
    <s v="Jul-2024"/>
    <s v="Large"/>
    <n v="0.06"/>
    <n v="6600"/>
    <x v="1"/>
    <s v="Consumer"/>
  </r>
  <r>
    <s v="ORD2152"/>
    <d v="2024-11-09T00:00:00"/>
    <s v="C1003"/>
    <s v="P101"/>
    <x v="1"/>
    <s v="Amit Verma"/>
    <n v="10"/>
    <n v="0"/>
    <s v="Paid"/>
    <x v="3"/>
    <x v="1"/>
    <s v="P101"/>
    <s v="Laptop"/>
    <s v="Electronics"/>
    <n v="55000"/>
    <s v="Hyderabad"/>
    <n v="550000"/>
    <s v="Nov-2024"/>
    <s v="Large"/>
    <n v="0.06"/>
    <n v="33000"/>
    <x v="0"/>
    <s v="Consumer"/>
  </r>
  <r>
    <s v="ORD2016"/>
    <d v="2024-11-15T00:00:00"/>
    <s v="C1040"/>
    <s v="P101"/>
    <x v="2"/>
    <s v="Latha Menon"/>
    <n v="2"/>
    <n v="0.15"/>
    <s v="Paid"/>
    <x v="4"/>
    <x v="2"/>
    <s v="P101"/>
    <s v="Laptop"/>
    <s v="Electronics"/>
    <n v="55000"/>
    <s v="Kolkata"/>
    <n v="93500"/>
    <s v="Nov-2024"/>
    <s v="Large"/>
    <n v="0.05"/>
    <n v="4675"/>
    <x v="0"/>
    <s v="Corporate"/>
  </r>
  <r>
    <s v="ORD2156"/>
    <d v="2024-07-24T00:00:00"/>
    <s v="C1017"/>
    <s v="P101"/>
    <x v="1"/>
    <s v="Latha Menon"/>
    <n v="10"/>
    <n v="0.15"/>
    <s v="Overdue"/>
    <x v="4"/>
    <x v="1"/>
    <s v="P101"/>
    <s v="Laptop"/>
    <s v="Electronics"/>
    <n v="55000"/>
    <s v="Pune"/>
    <n v="467500"/>
    <s v="Jul-2024"/>
    <s v="Large"/>
    <n v="0.06"/>
    <n v="28050"/>
    <x v="0"/>
    <s v="Corporate"/>
  </r>
  <r>
    <s v="ORD2011"/>
    <d v="2024-12-19T00:00:00"/>
    <s v="C1035"/>
    <s v="P101"/>
    <x v="3"/>
    <s v="Sunita Rao"/>
    <n v="5"/>
    <n v="0.1"/>
    <s v="Paid"/>
    <x v="5"/>
    <x v="3"/>
    <s v="P101"/>
    <s v="Laptop"/>
    <s v="Electronics"/>
    <n v="55000"/>
    <s v="Mumbai"/>
    <n v="247500"/>
    <s v="Dec-2024"/>
    <s v="Large"/>
    <n v="0.06"/>
    <n v="14850"/>
    <x v="0"/>
    <s v="Home Office"/>
  </r>
  <r>
    <s v="ORD2161"/>
    <d v="2024-09-01T00:00:00"/>
    <s v="C1035"/>
    <s v="P101"/>
    <x v="2"/>
    <s v="Faisal Khan"/>
    <n v="8"/>
    <n v="0"/>
    <s v="Pending"/>
    <x v="6"/>
    <x v="2"/>
    <s v="P101"/>
    <s v="Laptop"/>
    <s v="Electronics"/>
    <n v="55000"/>
    <s v="Mumbai"/>
    <n v="440000"/>
    <s v="Sep-2024"/>
    <s v="Large"/>
    <n v="0.06"/>
    <n v="26400"/>
    <x v="1"/>
    <s v="Home Office"/>
  </r>
  <r>
    <s v="ORD2043"/>
    <d v="2024-12-10T00:00:00"/>
    <s v="C1012"/>
    <s v="P109 "/>
    <x v="3"/>
    <s v="Amit Verma"/>
    <n v="5"/>
    <n v="0"/>
    <s v="Paid"/>
    <x v="3"/>
    <x v="3"/>
    <s v="P109"/>
    <s v="Sofa Set"/>
    <s v="Furniture"/>
    <n v="42000"/>
    <s v="Delhi"/>
    <n v="210000"/>
    <s v="Dec-2024"/>
    <s v="Large"/>
    <n v="0.06"/>
    <n v="12600"/>
    <x v="0"/>
    <s v="Home Office"/>
  </r>
  <r>
    <s v="ORD2195"/>
    <d v="2024-02-24T00:00:00"/>
    <s v="C1003"/>
    <s v="P109"/>
    <x v="4"/>
    <s v="Kiran Shah"/>
    <n v="4"/>
    <n v="0.1"/>
    <s v="Paid"/>
    <x v="1"/>
    <x v="0"/>
    <s v="P109"/>
    <s v="Sofa Set"/>
    <s v="Furniture"/>
    <n v="42000"/>
    <s v="Hyderabad"/>
    <n v="151200"/>
    <s v="Feb-2024"/>
    <s v="Large"/>
    <n v="0.06"/>
    <n v="9072"/>
    <x v="0"/>
    <s v="Consumer"/>
  </r>
  <r>
    <s v="ORD2188"/>
    <d v="2024-06-01T00:00:00"/>
    <s v="C1028"/>
    <s v="P109"/>
    <x v="4"/>
    <s v="Sunita Rao"/>
    <n v="2"/>
    <n v="0"/>
    <s v="Paid"/>
    <x v="5"/>
    <x v="0"/>
    <s v="P109"/>
    <s v="Sofa Set"/>
    <s v="Furniture"/>
    <n v="42000"/>
    <s v="Bengaluru"/>
    <n v="84000"/>
    <s v="Jun-2024"/>
    <s v="Large"/>
    <n v="0.05"/>
    <n v="4200"/>
    <x v="0"/>
    <s v="Consumer"/>
  </r>
  <r>
    <s v="ORD2173"/>
    <d v="2024-01-11T00:00:00"/>
    <s v="C1023"/>
    <s v="P109"/>
    <x v="3"/>
    <s v="Amit Verma"/>
    <n v="6"/>
    <n v="0"/>
    <s v="Overdue"/>
    <x v="3"/>
    <x v="3"/>
    <s v="P109"/>
    <s v="Sofa Set"/>
    <s v="Furniture"/>
    <n v="42000"/>
    <s v="Hyderabad"/>
    <n v="252000"/>
    <s v="Jan-2024"/>
    <s v="Large"/>
    <n v="0.06"/>
    <n v="15120"/>
    <x v="0"/>
    <s v="Corporate"/>
  </r>
  <r>
    <s v="ORD2144"/>
    <d v="2024-08-21T00:00:00"/>
    <s v="C1010"/>
    <s v="P109 "/>
    <x v="2"/>
    <s v="Pooja Nair"/>
    <n v="10"/>
    <n v="0"/>
    <s v="Overdue"/>
    <x v="2"/>
    <x v="2"/>
    <s v="P109"/>
    <s v="Sofa Set"/>
    <s v="Furniture"/>
    <n v="42000"/>
    <s v="Pune"/>
    <n v="420000"/>
    <s v="Aug-2024"/>
    <s v="Large"/>
    <n v="0.06"/>
    <n v="25200"/>
    <x v="0"/>
    <s v="Consumer"/>
  </r>
  <r>
    <s v="ORD2067"/>
    <d v="2024-11-19T00:00:00"/>
    <s v="C1033"/>
    <s v="P109"/>
    <x v="1"/>
    <s v="Latha Menon"/>
    <n v="4"/>
    <n v="0.05"/>
    <s v="Pending"/>
    <x v="4"/>
    <x v="1"/>
    <s v="P109"/>
    <s v="Sofa Set"/>
    <s v="Furniture"/>
    <n v="42000"/>
    <s v="Delhi"/>
    <n v="159600"/>
    <s v="Nov-2024"/>
    <s v="Large"/>
    <n v="0.06"/>
    <n v="9576"/>
    <x v="1"/>
    <s v="Consumer"/>
  </r>
  <r>
    <s v="ORD2120"/>
    <d v="2024-08-17T00:00:00"/>
    <s v="C1039"/>
    <s v="P109"/>
    <x v="1"/>
    <s v="Sunita Rao"/>
    <n v="10"/>
    <n v="0"/>
    <s v="Overdue"/>
    <x v="5"/>
    <x v="1"/>
    <s v="P109"/>
    <s v="Sofa Set"/>
    <s v="Furniture"/>
    <n v="42000"/>
    <s v="Delhi"/>
    <n v="420000"/>
    <s v="Aug-2024"/>
    <s v="Large"/>
    <n v="0.06"/>
    <n v="25200"/>
    <x v="0"/>
    <s v="Home Office"/>
  </r>
  <r>
    <s v="ORD2082"/>
    <d v="2024-02-01T00:00:00"/>
    <s v="C1032"/>
    <s v="P109"/>
    <x v="3"/>
    <s v="Kiran Shah"/>
    <n v="9"/>
    <n v="0.1"/>
    <s v="Paid"/>
    <x v="1"/>
    <x v="3"/>
    <s v="P109"/>
    <s v="Sofa Set"/>
    <s v="Furniture"/>
    <n v="42000"/>
    <s v="Kolkata"/>
    <n v="340200"/>
    <s v="Feb-2024"/>
    <s v="Large"/>
    <n v="0.06"/>
    <n v="20412"/>
    <x v="0"/>
    <s v="Corporate"/>
  </r>
  <r>
    <s v="ORD2089"/>
    <d v="2024-04-08T00:00:00"/>
    <s v="C1025"/>
    <s v="P109"/>
    <x v="4"/>
    <s v="Amit Verma"/>
    <n v="1"/>
    <n v="0.1"/>
    <s v="Paid"/>
    <x v="3"/>
    <x v="0"/>
    <s v="P109"/>
    <s v="Sofa Set"/>
    <s v="Furniture"/>
    <n v="42000"/>
    <s v="Kolkata"/>
    <n v="37800"/>
    <s v="Apr-2024"/>
    <s v="Medium"/>
    <n v="0.04"/>
    <n v="1512"/>
    <x v="0"/>
    <s v="Consumer"/>
  </r>
  <r>
    <s v="ORD2037"/>
    <d v="2024-03-07T00:00:00"/>
    <s v="C1028"/>
    <s v="P109"/>
    <x v="2"/>
    <s v="Kiran Shah"/>
    <n v="9"/>
    <n v="0.1"/>
    <s v="Overdue"/>
    <x v="1"/>
    <x v="2"/>
    <s v="P109"/>
    <s v="Sofa Set"/>
    <s v="Furniture"/>
    <n v="42000"/>
    <s v="Bengaluru"/>
    <n v="340200"/>
    <s v="Mar-2024"/>
    <s v="Large"/>
    <n v="0.06"/>
    <n v="20412"/>
    <x v="0"/>
    <s v="Consumer"/>
  </r>
  <r>
    <s v="ORD2187"/>
    <d v="2024-02-22T00:00:00"/>
    <s v="C1011"/>
    <s v="P104"/>
    <x v="4"/>
    <s v="Faisal Khan"/>
    <n v="3"/>
    <n v="0"/>
    <s v="Paid"/>
    <x v="6"/>
    <x v="0"/>
    <s v="P104"/>
    <s v="Tablet"/>
    <s v="Electronics"/>
    <n v="32000"/>
    <s v="Mumbai"/>
    <n v="96000"/>
    <s v="Feb-2024"/>
    <s v="Large"/>
    <n v="0.05"/>
    <n v="4800"/>
    <x v="0"/>
    <s v="Home Office"/>
  </r>
  <r>
    <s v="ORD2032"/>
    <d v="2024-08-27T00:00:00"/>
    <s v="C1015"/>
    <s v="P104"/>
    <x v="2"/>
    <s v="Reena Joshi"/>
    <n v="3"/>
    <n v="0.15"/>
    <s v="Paid"/>
    <x v="7"/>
    <x v="2"/>
    <s v="P104"/>
    <s v="Tablet"/>
    <s v="Electronics"/>
    <n v="32000"/>
    <s v="Hyderabad"/>
    <n v="81600"/>
    <s v="Aug-2024"/>
    <s v="Large"/>
    <n v="0.05"/>
    <n v="4080"/>
    <x v="0"/>
    <s v="Consumer"/>
  </r>
  <r>
    <s v="ORD2057"/>
    <d v="2024-03-09T00:00:00"/>
    <s v="C1024"/>
    <s v="P104"/>
    <x v="2"/>
    <s v="Reena Joshi"/>
    <n v="9"/>
    <n v="0"/>
    <s v="Paid"/>
    <x v="7"/>
    <x v="2"/>
    <s v="P104"/>
    <s v="Tablet"/>
    <s v="Electronics"/>
    <n v="32000"/>
    <s v="Mumbai"/>
    <n v="288000"/>
    <s v="Mar-2024"/>
    <s v="Large"/>
    <n v="0.06"/>
    <n v="17280"/>
    <x v="0"/>
    <s v="Corporate"/>
  </r>
  <r>
    <s v="ORD2162"/>
    <d v="2024-03-30T00:00:00"/>
    <s v="C1015"/>
    <s v="P104"/>
    <x v="3"/>
    <s v="Pooja Nair"/>
    <n v="1"/>
    <n v="0"/>
    <s v="Paid"/>
    <x v="2"/>
    <x v="3"/>
    <s v="P104"/>
    <s v="Tablet"/>
    <s v="Electronics"/>
    <n v="32000"/>
    <s v="Hyderabad"/>
    <n v="32000"/>
    <s v="Mar-2024"/>
    <s v="Medium"/>
    <n v="0.04"/>
    <n v="1280"/>
    <x v="0"/>
    <s v="Consumer"/>
  </r>
  <r>
    <s v="ORD2064"/>
    <d v="2024-08-26T00:00:00"/>
    <s v="C1030"/>
    <s v="P104"/>
    <x v="4"/>
    <s v="Manoj Das"/>
    <n v="2"/>
    <n v="0.05"/>
    <s v="Paid"/>
    <x v="0"/>
    <x v="0"/>
    <s v="P104"/>
    <s v="Tablet"/>
    <s v="Electronics"/>
    <n v="32000"/>
    <s v="Kolkata"/>
    <n v="60800"/>
    <s v="Aug-2024"/>
    <s v="Large"/>
    <n v="0.05"/>
    <n v="3040"/>
    <x v="0"/>
    <s v="Home Office"/>
  </r>
  <r>
    <s v="ORD2168"/>
    <d v="2024-01-17T00:00:00"/>
    <s v="C1002"/>
    <s v="P104"/>
    <x v="5"/>
    <s v="Kiran Shah"/>
    <n v="6"/>
    <n v="0"/>
    <s v="Paid"/>
    <x v="1"/>
    <x v="1"/>
    <s v="P104"/>
    <s v="Tablet"/>
    <s v="Electronics"/>
    <n v="32000"/>
    <s v="Pune"/>
    <n v="192000"/>
    <s v="Jan-2024"/>
    <s v="Large"/>
    <n v="0.06"/>
    <n v="11520"/>
    <x v="0"/>
    <s v="Home Office"/>
  </r>
  <r>
    <s v="ORD2031"/>
    <d v="2024-04-18T00:00:00"/>
    <s v="C1020"/>
    <s v="P104"/>
    <x v="4"/>
    <s v="Latha Menon"/>
    <n v="3"/>
    <n v="0"/>
    <s v="Paid"/>
    <x v="4"/>
    <x v="0"/>
    <s v="P104"/>
    <s v="Tablet"/>
    <s v="Electronics"/>
    <n v="32000"/>
    <s v="Bengaluru"/>
    <n v="96000"/>
    <s v="Apr-2024"/>
    <s v="Large"/>
    <n v="0.05"/>
    <n v="4800"/>
    <x v="0"/>
    <s v="Home Office"/>
  </r>
  <r>
    <s v="ORD2088"/>
    <d v="2024-09-27T00:00:00"/>
    <s v="C1028"/>
    <s v="P104"/>
    <x v="1"/>
    <s v="Sunita Rao"/>
    <n v="5"/>
    <n v="0.1"/>
    <s v="Overdue"/>
    <x v="5"/>
    <x v="1"/>
    <s v="P104"/>
    <s v="Tablet"/>
    <s v="Electronics"/>
    <n v="32000"/>
    <s v="Bengaluru"/>
    <n v="144000"/>
    <s v="Sep-2024"/>
    <s v="Large"/>
    <n v="0.06"/>
    <n v="8640"/>
    <x v="0"/>
    <s v="Consumer"/>
  </r>
  <r>
    <s v="ORD2107"/>
    <d v="2024-01-13T00:00:00"/>
    <s v="C1015"/>
    <s v="P104"/>
    <x v="2"/>
    <s v="Reena Joshi"/>
    <n v="7"/>
    <n v="0"/>
    <s v="Pending"/>
    <x v="7"/>
    <x v="2"/>
    <s v="P104"/>
    <s v="Tablet"/>
    <s v="Electronics"/>
    <n v="32000"/>
    <s v="Hyderabad"/>
    <n v="224000"/>
    <s v="Jan-2024"/>
    <s v="Large"/>
    <n v="0.06"/>
    <n v="13440"/>
    <x v="1"/>
    <s v="Consumer"/>
  </r>
  <r>
    <s v="ORD2131"/>
    <d v="2024-03-28T00:00:00"/>
    <s v="C1005"/>
    <s v="P104"/>
    <x v="2"/>
    <s v="Reena Joshi"/>
    <n v="4"/>
    <n v="0"/>
    <s v="Paid"/>
    <x v="7"/>
    <x v="2"/>
    <s v="P104"/>
    <s v="Tablet"/>
    <s v="Electronics"/>
    <n v="32000"/>
    <s v="Bengaluru"/>
    <n v="128000"/>
    <s v="Mar-2024"/>
    <s v="Large"/>
    <n v="0.06"/>
    <n v="7680"/>
    <x v="0"/>
    <s v="Consumer"/>
  </r>
  <r>
    <s v="ORD2163"/>
    <d v="2024-12-21T00:00:00"/>
    <s v="C1017"/>
    <s v="P102 "/>
    <x v="3"/>
    <s v=" Faisal Khan  "/>
    <n v="9"/>
    <n v="0"/>
    <s v="Paid"/>
    <x v="6"/>
    <x v="3"/>
    <s v="P102"/>
    <s v="Smartphone"/>
    <s v="Electronics"/>
    <n v="28000"/>
    <s v="Pune"/>
    <n v="252000"/>
    <s v="Dec-2024"/>
    <s v="Large"/>
    <n v="0.06"/>
    <n v="15120"/>
    <x v="0"/>
    <s v="Corporate"/>
  </r>
  <r>
    <s v="ORD2121"/>
    <d v="2024-06-28T00:00:00"/>
    <s v="C1014"/>
    <s v="P102 "/>
    <x v="3"/>
    <s v="Latha Menon"/>
    <n v="3"/>
    <n v="0"/>
    <s v="Paid"/>
    <x v="4"/>
    <x v="3"/>
    <s v="P102"/>
    <s v="Smartphone"/>
    <s v="Electronics"/>
    <n v="28000"/>
    <s v="Delhi"/>
    <n v="84000"/>
    <s v="Jun-2024"/>
    <s v="Large"/>
    <n v="0.05"/>
    <n v="4200"/>
    <x v="0"/>
    <s v="Consumer"/>
  </r>
  <r>
    <s v="ORD2141"/>
    <d v="2024-09-18T00:00:00"/>
    <s v="C1006"/>
    <s v="P102"/>
    <x v="2"/>
    <s v="Kiran Shah"/>
    <n v="1"/>
    <n v="0"/>
    <s v="Overdue"/>
    <x v="1"/>
    <x v="2"/>
    <s v="P102"/>
    <s v="Smartphone"/>
    <s v="Electronics"/>
    <n v="28000"/>
    <s v="Chennai"/>
    <n v="28000"/>
    <s v="Sep-2024"/>
    <s v="Medium"/>
    <n v="0.04"/>
    <n v="1120"/>
    <x v="0"/>
    <s v="Consumer"/>
  </r>
  <r>
    <s v="ORD2061"/>
    <d v="2024-12-16T00:00:00"/>
    <s v="C1019"/>
    <s v="P102"/>
    <x v="4"/>
    <s v="Sunita Rao"/>
    <n v="10"/>
    <n v="0"/>
    <s v="Paid"/>
    <x v="5"/>
    <x v="0"/>
    <s v="P102"/>
    <s v="Smartphone"/>
    <s v="Electronics"/>
    <n v="28000"/>
    <s v="Pune"/>
    <n v="280000"/>
    <s v="Dec-2024"/>
    <s v="Large"/>
    <n v="0.06"/>
    <n v="16800"/>
    <x v="0"/>
    <s v="Consumer"/>
  </r>
  <r>
    <s v="ORD2102"/>
    <d v="2024-08-09T00:00:00"/>
    <s v="C1006"/>
    <s v="P102"/>
    <x v="2"/>
    <s v="Pooja Nair"/>
    <n v="6"/>
    <n v="0.1"/>
    <s v="Pending"/>
    <x v="2"/>
    <x v="2"/>
    <s v="P102"/>
    <s v="Smartphone"/>
    <s v="Electronics"/>
    <n v="28000"/>
    <s v="Chennai"/>
    <n v="151200"/>
    <s v="Aug-2024"/>
    <s v="Large"/>
    <n v="0.06"/>
    <n v="9072"/>
    <x v="1"/>
    <s v="Consumer"/>
  </r>
  <r>
    <s v="ORD2041"/>
    <d v="2024-11-14T00:00:00"/>
    <s v="C1009"/>
    <s v="P102"/>
    <x v="4"/>
    <s v="Sunita Rao"/>
    <n v="3"/>
    <n v="0"/>
    <s v="Paid"/>
    <x v="5"/>
    <x v="0"/>
    <s v="P102"/>
    <s v="Smartphone"/>
    <s v="Electronics"/>
    <n v="28000"/>
    <s v="Bengaluru"/>
    <n v="84000"/>
    <s v="Nov-2024"/>
    <s v="Large"/>
    <n v="0.05"/>
    <n v="4200"/>
    <x v="0"/>
    <s v="Consumer"/>
  </r>
  <r>
    <s v="ORD2072"/>
    <d v="2024-08-07T00:00:00"/>
    <s v="C1018"/>
    <s v="P102"/>
    <x v="3"/>
    <s v="Sunita Rao"/>
    <n v="1"/>
    <n v="0.15"/>
    <s v="Paid"/>
    <x v="5"/>
    <x v="3"/>
    <s v="P102"/>
    <s v="Smartphone"/>
    <s v="Electronics"/>
    <n v="28000"/>
    <s v="Chennai"/>
    <n v="23800"/>
    <s v="Aug-2024"/>
    <s v="Medium"/>
    <n v="0.03"/>
    <n v="714"/>
    <x v="0"/>
    <s v="Corporate"/>
  </r>
  <r>
    <s v="ORD2084"/>
    <d v="2024-01-12T00:00:00"/>
    <s v="C1009"/>
    <s v="P102"/>
    <x v="2"/>
    <s v="Reena Joshi"/>
    <n v="10"/>
    <n v="0.05"/>
    <s v="Paid"/>
    <x v="7"/>
    <x v="2"/>
    <s v="P102"/>
    <s v="Smartphone"/>
    <s v="Electronics"/>
    <n v="28000"/>
    <s v="Bengaluru"/>
    <n v="266000"/>
    <s v="Jan-2024"/>
    <s v="Large"/>
    <n v="0.06"/>
    <n v="15960"/>
    <x v="0"/>
    <s v="Consumer"/>
  </r>
  <r>
    <s v="ORD2005"/>
    <d v="2024-11-20T00:00:00"/>
    <s v="C1026"/>
    <s v="P102"/>
    <x v="4"/>
    <s v="Sunita Rao"/>
    <n v="4"/>
    <n v="0.05"/>
    <s v="Paid"/>
    <x v="5"/>
    <x v="0"/>
    <s v="P102"/>
    <s v="Smartphone"/>
    <s v="Electronics"/>
    <n v="28000"/>
    <s v="Hyderabad"/>
    <n v="106400"/>
    <s v="Nov-2024"/>
    <s v="Large"/>
    <n v="0.06"/>
    <n v="6384"/>
    <x v="0"/>
    <s v="Corporate"/>
  </r>
  <r>
    <s v="ORD2140"/>
    <d v="2024-09-15T00:00:00"/>
    <s v="C1033"/>
    <s v="P102"/>
    <x v="1"/>
    <s v="Kiran Shah"/>
    <n v="2"/>
    <n v="0.15"/>
    <s v="Paid"/>
    <x v="1"/>
    <x v="1"/>
    <s v="P102"/>
    <s v="Smartphone"/>
    <s v="Electronics"/>
    <n v="28000"/>
    <s v="Delhi"/>
    <n v="47600"/>
    <s v="Sep-2024"/>
    <s v="Medium"/>
    <n v="0.04"/>
    <n v="1904"/>
    <x v="0"/>
    <s v="Consumer"/>
  </r>
  <r>
    <s v="ORD2050"/>
    <d v="2024-06-14T00:00:00"/>
    <s v="C1016"/>
    <s v="P102 "/>
    <x v="3"/>
    <s v="Pooja Nair"/>
    <n v="6"/>
    <n v="0"/>
    <s v="Paid"/>
    <x v="2"/>
    <x v="3"/>
    <s v="P102"/>
    <s v="Smartphone"/>
    <s v="Electronics"/>
    <n v="28000"/>
    <s v="Chennai"/>
    <n v="168000"/>
    <s v="Jun-2024"/>
    <s v="Large"/>
    <n v="0.06"/>
    <n v="10080"/>
    <x v="0"/>
    <s v="Home Office"/>
  </r>
  <r>
    <s v="ORD2104"/>
    <d v="2024-01-21T00:00:00"/>
    <s v="C1025"/>
    <s v="P102"/>
    <x v="2"/>
    <s v="Sunita Rao"/>
    <n v="1"/>
    <n v="0"/>
    <s v="Paid"/>
    <x v="5"/>
    <x v="2"/>
    <s v="P102"/>
    <s v="Smartphone"/>
    <s v="Electronics"/>
    <n v="28000"/>
    <s v="Kolkata"/>
    <n v="28000"/>
    <s v="Jan-2024"/>
    <s v="Medium"/>
    <n v="0.04"/>
    <n v="1120"/>
    <x v="0"/>
    <s v="Consumer"/>
  </r>
  <r>
    <s v="ORD2135"/>
    <d v="2024-05-06T00:00:00"/>
    <s v="C1013"/>
    <s v="P102"/>
    <x v="1"/>
    <s v="Latha Menon"/>
    <n v="2"/>
    <n v="0.05"/>
    <s v="Overdue"/>
    <x v="4"/>
    <x v="1"/>
    <s v="P102"/>
    <s v="Smartphone"/>
    <s v="Electronics"/>
    <n v="28000"/>
    <s v="Bengaluru"/>
    <n v="53200"/>
    <s v="May-2024"/>
    <s v="Large"/>
    <n v="0.05"/>
    <n v="2660"/>
    <x v="0"/>
    <s v="Home Office"/>
  </r>
  <r>
    <s v="ORD2189"/>
    <d v="2024-07-17T00:00:00"/>
    <s v="C1030"/>
    <s v="P102"/>
    <x v="1"/>
    <s v="Faisal Khan"/>
    <n v="7"/>
    <n v="0"/>
    <s v="Paid"/>
    <x v="6"/>
    <x v="1"/>
    <s v="P102"/>
    <s v="Smartphone"/>
    <s v="Electronics"/>
    <n v="28000"/>
    <s v="Kolkata"/>
    <n v="196000"/>
    <s v="Jul-2024"/>
    <s v="Large"/>
    <n v="0.06"/>
    <n v="11760"/>
    <x v="0"/>
    <s v="Home Office"/>
  </r>
  <r>
    <s v="ORD2021"/>
    <d v="2024-01-15T00:00:00"/>
    <s v="C1017"/>
    <s v="P107"/>
    <x v="3"/>
    <s v="Pooja Nair"/>
    <n v="10"/>
    <n v="0"/>
    <s v="Paid"/>
    <x v="2"/>
    <x v="3"/>
    <s v="P107"/>
    <s v="Standing Desk"/>
    <s v="Furniture"/>
    <n v="18000"/>
    <s v="Pune"/>
    <n v="180000"/>
    <s v="Jan-2024"/>
    <s v="Large"/>
    <n v="0.06"/>
    <n v="10800"/>
    <x v="0"/>
    <s v="Corporate"/>
  </r>
  <r>
    <s v="ORD2063"/>
    <d v="2024-05-17T00:00:00"/>
    <s v="C1007"/>
    <s v="P107"/>
    <x v="2"/>
    <s v="Manoj Das"/>
    <n v="9"/>
    <n v="0"/>
    <s v="Pending"/>
    <x v="0"/>
    <x v="2"/>
    <s v="P107"/>
    <s v="Standing Desk"/>
    <s v="Furniture"/>
    <n v="18000"/>
    <s v="Bengaluru"/>
    <n v="162000"/>
    <s v="May-2024"/>
    <s v="Large"/>
    <n v="0.06"/>
    <n v="9720"/>
    <x v="1"/>
    <s v="Consumer"/>
  </r>
  <r>
    <s v="ORD2167"/>
    <d v="2024-10-19T00:00:00"/>
    <s v="C1020"/>
    <s v="P107"/>
    <x v="2"/>
    <s v="Sunita Rao"/>
    <n v="10"/>
    <n v="0"/>
    <s v="Paid"/>
    <x v="5"/>
    <x v="2"/>
    <s v="P107"/>
    <s v="Standing Desk"/>
    <s v="Furniture"/>
    <n v="18000"/>
    <s v="Bengaluru"/>
    <n v="180000"/>
    <s v="Oct-2024"/>
    <s v="Large"/>
    <n v="0.06"/>
    <n v="10800"/>
    <x v="0"/>
    <s v="Home Office"/>
  </r>
  <r>
    <s v="ORD2115"/>
    <d v="2024-05-10T00:00:00"/>
    <s v="C1017"/>
    <s v="P107"/>
    <x v="2"/>
    <s v="Pooja Nair"/>
    <n v="3"/>
    <n v="0"/>
    <s v="Paid"/>
    <x v="2"/>
    <x v="2"/>
    <s v="P107"/>
    <s v="Standing Desk"/>
    <s v="Furniture"/>
    <n v="18000"/>
    <s v="Pune"/>
    <n v="54000"/>
    <s v="May-2024"/>
    <s v="Large"/>
    <n v="0.05"/>
    <n v="2700"/>
    <x v="0"/>
    <s v="Corporate"/>
  </r>
  <r>
    <s v="ORD2165"/>
    <d v="2024-03-22T00:00:00"/>
    <s v="C1021"/>
    <s v="P107 "/>
    <x v="2"/>
    <s v="Latha Menon"/>
    <n v="10"/>
    <n v="0"/>
    <s v="Pending"/>
    <x v="4"/>
    <x v="2"/>
    <s v="P107"/>
    <s v="Standing Desk"/>
    <s v="Furniture"/>
    <n v="18000"/>
    <s v="Chennai"/>
    <n v="180000"/>
    <s v="Mar-2024"/>
    <s v="Large"/>
    <n v="0.06"/>
    <n v="10800"/>
    <x v="1"/>
    <s v="Corporate"/>
  </r>
  <r>
    <s v="ORD2119"/>
    <d v="2024-03-02T00:00:00"/>
    <s v="C1004"/>
    <s v="P107"/>
    <x v="4"/>
    <s v="Sunita Rao"/>
    <n v="6"/>
    <n v="0.1"/>
    <s v="Paid"/>
    <x v="5"/>
    <x v="0"/>
    <s v="P107"/>
    <s v="Standing Desk"/>
    <s v="Furniture"/>
    <n v="18000"/>
    <s v="Bengaluru"/>
    <n v="97200"/>
    <s v="Mar-2024"/>
    <s v="Large"/>
    <n v="0.05"/>
    <n v="4860"/>
    <x v="0"/>
    <s v="Consumer"/>
  </r>
  <r>
    <s v="ORD2097"/>
    <d v="2024-07-20T00:00:00"/>
    <s v="C1004"/>
    <s v="P107"/>
    <x v="1"/>
    <s v="Kiran Shah"/>
    <n v="7"/>
    <n v="0"/>
    <s v="Paid"/>
    <x v="1"/>
    <x v="1"/>
    <s v="P107"/>
    <s v="Standing Desk"/>
    <s v="Furniture"/>
    <n v="18000"/>
    <s v="Bengaluru"/>
    <n v="126000"/>
    <s v="Jul-2024"/>
    <s v="Large"/>
    <n v="0.06"/>
    <n v="7560"/>
    <x v="0"/>
    <s v="Consumer"/>
  </r>
  <r>
    <s v="ORD2013"/>
    <d v="2024-07-24T00:00:00"/>
    <s v="C1015"/>
    <s v="P107"/>
    <x v="2"/>
    <s v="Latha Menon"/>
    <n v="1"/>
    <n v="0"/>
    <s v="Paid"/>
    <x v="4"/>
    <x v="2"/>
    <s v="P107"/>
    <s v="Standing Desk"/>
    <s v="Furniture"/>
    <n v="18000"/>
    <s v="Hyderabad"/>
    <n v="18000"/>
    <s v="Jul-2024"/>
    <s v="Small"/>
    <n v="0.03"/>
    <n v="540"/>
    <x v="0"/>
    <s v="Consumer"/>
  </r>
  <r>
    <s v="ORD2172"/>
    <d v="2024-03-08T00:00:00"/>
    <s v="C1007"/>
    <s v="P107"/>
    <x v="3"/>
    <s v="Latha Menon"/>
    <n v="6"/>
    <n v="0.05"/>
    <s v="Paid"/>
    <x v="4"/>
    <x v="3"/>
    <s v="P107"/>
    <s v="Standing Desk"/>
    <s v="Furniture"/>
    <n v="18000"/>
    <s v="Bengaluru"/>
    <n v="102600"/>
    <s v="Mar-2024"/>
    <s v="Large"/>
    <n v="0.06"/>
    <n v="6156"/>
    <x v="0"/>
    <s v="Consumer"/>
  </r>
  <r>
    <s v="ORD2014"/>
    <d v="2024-08-29T00:00:00"/>
    <s v="C1017"/>
    <s v="P107"/>
    <x v="3"/>
    <s v="Reena Joshi"/>
    <n v="6"/>
    <n v="0"/>
    <s v="Paid"/>
    <x v="7"/>
    <x v="3"/>
    <s v="P107"/>
    <s v="Standing Desk"/>
    <s v="Furniture"/>
    <n v="18000"/>
    <s v="Pune"/>
    <n v="108000"/>
    <s v="Aug-2024"/>
    <s v="Large"/>
    <n v="0.06"/>
    <n v="6480"/>
    <x v="0"/>
    <s v="Corporate"/>
  </r>
  <r>
    <s v="ORD2142"/>
    <d v="2024-12-20T00:00:00"/>
    <s v="C1008"/>
    <s v="P107"/>
    <x v="4"/>
    <s v="Reena Joshi"/>
    <n v="5"/>
    <n v="0"/>
    <s v="Paid"/>
    <x v="7"/>
    <x v="0"/>
    <s v="P107"/>
    <s v="Standing Desk"/>
    <s v="Furniture"/>
    <n v="18000"/>
    <s v="Bengaluru"/>
    <n v="90000"/>
    <s v="Dec-2024"/>
    <s v="Large"/>
    <n v="0.05"/>
    <n v="4500"/>
    <x v="0"/>
    <s v="Home Office"/>
  </r>
  <r>
    <s v="ORD2113"/>
    <d v="2024-03-29T00:00:00"/>
    <s v="C1015"/>
    <s v="P105"/>
    <x v="2"/>
    <s v="Reena Joshi"/>
    <n v="10"/>
    <n v="0.15"/>
    <s v="Paid"/>
    <x v="7"/>
    <x v="2"/>
    <s v="P105"/>
    <s v="Smartwatch"/>
    <s v="Electronics"/>
    <n v="9500"/>
    <s v="Hyderabad"/>
    <n v="80750"/>
    <s v="Mar-2024"/>
    <s v="Large"/>
    <n v="0.05"/>
    <n v="4037.5"/>
    <x v="0"/>
    <s v="Consumer"/>
  </r>
  <r>
    <s v="ORD2019"/>
    <d v="2024-10-29T00:00:00"/>
    <s v="C1030"/>
    <s v="P105"/>
    <x v="2"/>
    <s v="Latha Menon"/>
    <n v="3"/>
    <n v="0.1"/>
    <s v="Overdue"/>
    <x v="4"/>
    <x v="2"/>
    <s v="P105"/>
    <s v="Smartwatch"/>
    <s v="Electronics"/>
    <n v="9500"/>
    <s v="Kolkata"/>
    <n v="25650"/>
    <s v="Oct-2024"/>
    <s v="Medium"/>
    <n v="0.04"/>
    <n v="1026"/>
    <x v="0"/>
    <s v="Home Office"/>
  </r>
  <r>
    <s v="ORD2139"/>
    <d v="2024-02-24T00:00:00"/>
    <s v="C1005"/>
    <s v="P105"/>
    <x v="3"/>
    <s v="Faisal Khan"/>
    <n v="6"/>
    <n v="0"/>
    <s v="Pending"/>
    <x v="6"/>
    <x v="3"/>
    <s v="P105"/>
    <s v="Smartwatch"/>
    <s v="Electronics"/>
    <n v="9500"/>
    <s v="Bengaluru"/>
    <n v="57000"/>
    <s v="Feb-2024"/>
    <s v="Large"/>
    <n v="0.05"/>
    <n v="2850"/>
    <x v="1"/>
    <s v="Consumer"/>
  </r>
  <r>
    <s v="ORD2056"/>
    <d v="2024-12-24T00:00:00"/>
    <s v="C1033"/>
    <s v="P105"/>
    <x v="1"/>
    <s v="Pooja Nair"/>
    <n v="2"/>
    <n v="0"/>
    <s v="Paid"/>
    <x v="2"/>
    <x v="1"/>
    <s v="P105"/>
    <s v="Smartwatch"/>
    <s v="Electronics"/>
    <n v="9500"/>
    <s v="Delhi"/>
    <n v="19000"/>
    <s v="Dec-2024"/>
    <s v="Small"/>
    <n v="0.03"/>
    <n v="570"/>
    <x v="0"/>
    <s v="Consumer"/>
  </r>
  <r>
    <s v="ORD2022"/>
    <d v="2024-10-05T00:00:00"/>
    <s v="C1027"/>
    <s v="P105"/>
    <x v="1"/>
    <s v="Latha Menon"/>
    <n v="8"/>
    <n v="0.15"/>
    <s v="Overdue"/>
    <x v="4"/>
    <x v="1"/>
    <s v="P105"/>
    <s v="Smartwatch"/>
    <s v="Electronics"/>
    <n v="9500"/>
    <s v="Hyderabad"/>
    <n v="64600"/>
    <s v="Oct-2024"/>
    <s v="Large"/>
    <n v="0.05"/>
    <n v="3230"/>
    <x v="0"/>
    <s v="Corporate"/>
  </r>
  <r>
    <s v="ORD2075"/>
    <d v="2024-08-18T00:00:00"/>
    <s v="C1040"/>
    <s v="P105"/>
    <x v="3"/>
    <s v="Reena Joshi"/>
    <n v="1"/>
    <n v="0.1"/>
    <s v="Paid"/>
    <x v="7"/>
    <x v="3"/>
    <s v="P105"/>
    <s v="Smartwatch"/>
    <s v="Electronics"/>
    <n v="9500"/>
    <s v="Kolkata"/>
    <n v="8550"/>
    <s v="Aug-2024"/>
    <s v="Small"/>
    <n v="0.02"/>
    <n v="171"/>
    <x v="0"/>
    <s v="Corporate"/>
  </r>
  <r>
    <s v="ORD2169"/>
    <d v="2024-01-16T00:00:00"/>
    <s v="C1003"/>
    <s v="P105"/>
    <x v="1"/>
    <s v="Sunita Rao"/>
    <n v="1"/>
    <n v="0"/>
    <s v="Overdue"/>
    <x v="5"/>
    <x v="1"/>
    <s v="P105"/>
    <s v="Smartwatch"/>
    <s v="Electronics"/>
    <n v="9500"/>
    <s v="Hyderabad"/>
    <n v="9500"/>
    <s v="Jan-2024"/>
    <s v="Small"/>
    <n v="0.02"/>
    <n v="190"/>
    <x v="0"/>
    <s v="Consumer"/>
  </r>
  <r>
    <s v="ORD2184"/>
    <d v="2024-10-23T00:00:00"/>
    <s v="C1015"/>
    <s v="P105"/>
    <x v="3"/>
    <s v="Reena Joshi"/>
    <n v="4"/>
    <n v="0.1"/>
    <s v="Paid"/>
    <x v="7"/>
    <x v="3"/>
    <s v="P105"/>
    <s v="Smartwatch"/>
    <s v="Electronics"/>
    <n v="9500"/>
    <s v="Hyderabad"/>
    <n v="34200"/>
    <s v="Oct-2024"/>
    <s v="Medium"/>
    <n v="0.04"/>
    <n v="1368"/>
    <x v="0"/>
    <s v="Consumer"/>
  </r>
  <r>
    <s v="ORD2068"/>
    <d v="2024-07-20T00:00:00"/>
    <s v="C1002"/>
    <s v="P106"/>
    <x v="1"/>
    <s v="Reena Joshi"/>
    <n v="8"/>
    <n v="0.05"/>
    <s v="Paid"/>
    <x v="7"/>
    <x v="1"/>
    <s v="P106"/>
    <s v="Office Chair"/>
    <s v="Furniture"/>
    <n v="7500"/>
    <s v="Pune"/>
    <n v="57000"/>
    <s v="Jul-2024"/>
    <s v="Large"/>
    <n v="0.05"/>
    <n v="2850"/>
    <x v="0"/>
    <s v="Home Office"/>
  </r>
  <r>
    <s v="ORD2010"/>
    <d v="2024-05-15T00:00:00"/>
    <s v="C1031"/>
    <s v="P106"/>
    <x v="1"/>
    <s v="Pooja Nair"/>
    <n v="9"/>
    <n v="0"/>
    <s v="Paid"/>
    <x v="2"/>
    <x v="1"/>
    <s v="P106"/>
    <s v="Office Chair"/>
    <s v="Furniture"/>
    <n v="7500"/>
    <s v="Kolkata"/>
    <n v="67500"/>
    <s v="May-2024"/>
    <s v="Large"/>
    <n v="0.05"/>
    <n v="3375"/>
    <x v="0"/>
    <s v="Corporate"/>
  </r>
  <r>
    <s v="ORD2149"/>
    <d v="2024-08-14T00:00:00"/>
    <s v="C1015"/>
    <s v="P106"/>
    <x v="1"/>
    <s v="Manoj Das"/>
    <n v="9"/>
    <n v="0"/>
    <s v="Paid"/>
    <x v="0"/>
    <x v="1"/>
    <s v="P106"/>
    <s v="Office Chair"/>
    <s v="Furniture"/>
    <n v="7500"/>
    <s v="Hyderabad"/>
    <n v="67500"/>
    <s v="Aug-2024"/>
    <s v="Large"/>
    <n v="0.05"/>
    <n v="3375"/>
    <x v="0"/>
    <s v="Consumer"/>
  </r>
  <r>
    <s v="ORD2178"/>
    <d v="2024-05-13T00:00:00"/>
    <s v="C1037"/>
    <s v="P106"/>
    <x v="3"/>
    <s v="Pooja Nair"/>
    <n v="4"/>
    <n v="0.05"/>
    <s v="Paid"/>
    <x v="2"/>
    <x v="3"/>
    <s v="P106"/>
    <s v="Office Chair"/>
    <s v="Furniture"/>
    <n v="7500"/>
    <s v="Chennai"/>
    <n v="28500"/>
    <s v="May-2024"/>
    <s v="Medium"/>
    <n v="0.04"/>
    <n v="1140"/>
    <x v="0"/>
    <s v="Corporate"/>
  </r>
  <r>
    <s v="ORD2130"/>
    <d v="2024-07-08T00:00:00"/>
    <s v="C1033"/>
    <s v="P106"/>
    <x v="4"/>
    <s v="Latha Menon"/>
    <n v="5"/>
    <n v="0"/>
    <s v="Overdue"/>
    <x v="4"/>
    <x v="0"/>
    <s v="P106"/>
    <s v="Office Chair"/>
    <s v="Furniture"/>
    <n v="7500"/>
    <s v="Delhi"/>
    <n v="37500"/>
    <s v="Jul-2024"/>
    <s v="Medium"/>
    <n v="0.04"/>
    <n v="1500"/>
    <x v="0"/>
    <s v="Consumer"/>
  </r>
  <r>
    <s v="ORD2015"/>
    <d v="2024-04-22T00:00:00"/>
    <s v="C1007"/>
    <s v="P108"/>
    <x v="2"/>
    <s v="Pooja Nair"/>
    <n v="6"/>
    <n v="0"/>
    <s v="Pending"/>
    <x v="2"/>
    <x v="2"/>
    <s v="P108"/>
    <s v="Bookshelf"/>
    <s v="Furniture"/>
    <n v="6200"/>
    <s v="Bengaluru"/>
    <n v="37200"/>
    <s v="Apr-2024"/>
    <s v="Medium"/>
    <n v="0.04"/>
    <n v="1488"/>
    <x v="1"/>
    <s v="Consumer"/>
  </r>
  <r>
    <s v="ORD2060"/>
    <d v="2024-04-30T00:00:00"/>
    <s v="C1014"/>
    <s v="P108"/>
    <x v="2"/>
    <s v="Reena Joshi"/>
    <n v="7"/>
    <n v="0"/>
    <s v="Pending"/>
    <x v="7"/>
    <x v="2"/>
    <s v="P108"/>
    <s v="Bookshelf"/>
    <s v="Furniture"/>
    <n v="6200"/>
    <s v="Delhi"/>
    <n v="43400"/>
    <s v="Apr-2024"/>
    <s v="Medium"/>
    <n v="0.04"/>
    <n v="1736"/>
    <x v="1"/>
    <s v="Consumer"/>
  </r>
  <r>
    <s v="ORD2095"/>
    <d v="2024-04-28T00:00:00"/>
    <s v="C1030"/>
    <s v="P108"/>
    <x v="3"/>
    <s v="Manoj Das"/>
    <n v="2"/>
    <n v="0.1"/>
    <s v="Pending"/>
    <x v="0"/>
    <x v="3"/>
    <s v="P108"/>
    <s v="Bookshelf"/>
    <s v="Furniture"/>
    <n v="6200"/>
    <s v="Kolkata"/>
    <n v="11160"/>
    <s v="Apr-2024"/>
    <s v="Small"/>
    <n v="0.03"/>
    <n v="334.8"/>
    <x v="0"/>
    <s v="Home Office"/>
  </r>
  <r>
    <s v="ORD2029"/>
    <d v="2024-09-01T00:00:00"/>
    <s v="C1033"/>
    <s v="P108"/>
    <x v="3"/>
    <s v="Pooja Nair"/>
    <n v="8"/>
    <n v="0"/>
    <s v="Pending"/>
    <x v="2"/>
    <x v="3"/>
    <s v="P108"/>
    <s v="Bookshelf"/>
    <s v="Furniture"/>
    <n v="6200"/>
    <s v="Delhi"/>
    <n v="49600"/>
    <s v="Sep-2024"/>
    <s v="Medium"/>
    <n v="0.04"/>
    <n v="1984"/>
    <x v="1"/>
    <s v="Consumer"/>
  </r>
  <r>
    <s v="ORD2096"/>
    <d v="2024-11-08T00:00:00"/>
    <s v="C1012"/>
    <s v="P108"/>
    <x v="2"/>
    <s v="Faisal Khan"/>
    <n v="1"/>
    <n v="0"/>
    <s v="Paid"/>
    <x v="6"/>
    <x v="2"/>
    <s v="P108"/>
    <s v="Bookshelf"/>
    <s v="Furniture"/>
    <n v="6200"/>
    <s v="Delhi"/>
    <n v="6200"/>
    <s v="Nov-2024"/>
    <s v="Small"/>
    <n v="0.02"/>
    <n v="124"/>
    <x v="0"/>
    <s v="Home Office"/>
  </r>
  <r>
    <s v="ORD2133"/>
    <d v="2024-12-18T00:00:00"/>
    <s v="C1011"/>
    <s v="P108"/>
    <x v="2"/>
    <s v="Pooja Nair"/>
    <n v="8"/>
    <n v="0"/>
    <s v="Overdue"/>
    <x v="2"/>
    <x v="2"/>
    <s v="P108"/>
    <s v="Bookshelf"/>
    <s v="Furniture"/>
    <n v="6200"/>
    <s v="Mumbai"/>
    <n v="49600"/>
    <s v="Dec-2024"/>
    <s v="Medium"/>
    <n v="0.04"/>
    <n v="1984"/>
    <x v="0"/>
    <s v="Home Office"/>
  </r>
  <r>
    <s v="ORD2138"/>
    <d v="2024-09-07T00:00:00"/>
    <s v="C1030"/>
    <s v="P108"/>
    <x v="2"/>
    <s v="Reena Joshi"/>
    <n v="3"/>
    <n v="0.05"/>
    <s v="Pending"/>
    <x v="7"/>
    <x v="2"/>
    <s v="P108"/>
    <s v="Bookshelf"/>
    <s v="Furniture"/>
    <n v="6200"/>
    <s v="Kolkata"/>
    <n v="17670"/>
    <s v="Sep-2024"/>
    <s v="Small"/>
    <n v="0.03"/>
    <n v="530.1"/>
    <x v="0"/>
    <s v="Home Office"/>
  </r>
  <r>
    <s v="ORD2083"/>
    <d v="2024-02-17T00:00:00"/>
    <s v="C1018"/>
    <s v="P108"/>
    <x v="2"/>
    <s v="Faisal Khan"/>
    <n v="8"/>
    <n v="0"/>
    <s v="Paid"/>
    <x v="6"/>
    <x v="2"/>
    <s v="P108"/>
    <s v="Bookshelf"/>
    <s v="Furniture"/>
    <n v="6200"/>
    <s v="Chennai"/>
    <n v="49600"/>
    <s v="Feb-2024"/>
    <s v="Medium"/>
    <n v="0.04"/>
    <n v="1984"/>
    <x v="0"/>
    <s v="Corporate"/>
  </r>
  <r>
    <s v="ORD2118"/>
    <d v="2024-01-03T00:00:00"/>
    <s v="C1031"/>
    <s v="P108"/>
    <x v="2"/>
    <s v="Latha Menon"/>
    <n v="1"/>
    <n v="0"/>
    <s v="Paid"/>
    <x v="4"/>
    <x v="2"/>
    <s v="P108"/>
    <s v="Bookshelf"/>
    <s v="Furniture"/>
    <n v="6200"/>
    <s v="Kolkata"/>
    <n v="6200"/>
    <s v="Jan-2024"/>
    <s v="Small"/>
    <n v="0.02"/>
    <n v="124"/>
    <x v="0"/>
    <s v="Corporate"/>
  </r>
  <r>
    <s v="ORD2073"/>
    <d v="2024-11-21T00:00:00"/>
    <s v="C1010"/>
    <s v="P108"/>
    <x v="3"/>
    <s v="Faisal Khan"/>
    <n v="9"/>
    <n v="0"/>
    <s v="Paid"/>
    <x v="6"/>
    <x v="3"/>
    <s v="P108"/>
    <s v="Bookshelf"/>
    <s v="Furniture"/>
    <n v="6200"/>
    <s v="Pune"/>
    <n v="55800"/>
    <s v="Nov-2024"/>
    <s v="Large"/>
    <n v="0.05"/>
    <n v="2790"/>
    <x v="0"/>
    <s v="Consumer"/>
  </r>
  <r>
    <s v="ORD2087"/>
    <d v="2024-01-01T00:00:00"/>
    <s v="C1009"/>
    <s v="P108"/>
    <x v="1"/>
    <s v="Manoj Das"/>
    <n v="3"/>
    <n v="0.15"/>
    <s v="Paid"/>
    <x v="0"/>
    <x v="1"/>
    <s v="P108"/>
    <s v="Bookshelf"/>
    <s v="Furniture"/>
    <n v="6200"/>
    <s v="Bengaluru"/>
    <n v="15810"/>
    <s v="Jan-2024"/>
    <s v="Small"/>
    <n v="0.03"/>
    <n v="474.29999999999995"/>
    <x v="0"/>
    <s v="Consumer"/>
  </r>
  <r>
    <s v="ORD2012"/>
    <d v="2024-03-26T00:00:00"/>
    <s v="C1023"/>
    <s v="P108"/>
    <x v="3"/>
    <s v="Pooja Nair"/>
    <n v="10"/>
    <n v="0"/>
    <s v="Paid"/>
    <x v="2"/>
    <x v="3"/>
    <s v="P108"/>
    <s v="Bookshelf"/>
    <s v="Furniture"/>
    <n v="6200"/>
    <s v="Hyderabad"/>
    <n v="62000"/>
    <s v="Mar-2024"/>
    <s v="Large"/>
    <n v="0.05"/>
    <n v="3100"/>
    <x v="0"/>
    <s v="Corporate"/>
  </r>
  <r>
    <s v="ORD2177"/>
    <d v="2024-09-08T00:00:00"/>
    <s v="C1007"/>
    <s v="P116"/>
    <x v="4"/>
    <s v="Reena Joshi"/>
    <n v="10"/>
    <n v="0"/>
    <s v="Overdue"/>
    <x v="7"/>
    <x v="0"/>
    <s v="P116"/>
    <s v="Sneakers"/>
    <s v="Clothing"/>
    <n v="4500"/>
    <s v="Bengaluru"/>
    <n v="45000"/>
    <s v="Sep-2024"/>
    <s v="Medium"/>
    <n v="0.04"/>
    <n v="1800"/>
    <x v="0"/>
    <s v="Consumer"/>
  </r>
  <r>
    <s v="ORD2108"/>
    <d v="2024-09-09T00:00:00"/>
    <s v="C1009"/>
    <s v="P116"/>
    <x v="4"/>
    <s v="Amit Verma"/>
    <n v="5"/>
    <n v="0.15"/>
    <s v="Paid"/>
    <x v="3"/>
    <x v="0"/>
    <s v="P116"/>
    <s v="Sneakers"/>
    <s v="Clothing"/>
    <n v="4500"/>
    <s v="Bengaluru"/>
    <n v="19125"/>
    <s v="Sep-2024"/>
    <s v="Small"/>
    <n v="0.03"/>
    <n v="573.75"/>
    <x v="0"/>
    <s v="Consumer"/>
  </r>
  <r>
    <s v="ORD2017"/>
    <d v="2024-07-17T00:00:00"/>
    <s v="C1013"/>
    <s v="P116"/>
    <x v="4"/>
    <s v="Faisal Khan"/>
    <n v="6"/>
    <n v="0"/>
    <s v="Pending"/>
    <x v="6"/>
    <x v="0"/>
    <s v="P116"/>
    <s v="Sneakers"/>
    <s v="Clothing"/>
    <n v="4500"/>
    <s v="Bengaluru"/>
    <n v="27000"/>
    <s v="Jul-2024"/>
    <s v="Medium"/>
    <n v="0.04"/>
    <n v="1080"/>
    <x v="1"/>
    <s v="Home Office"/>
  </r>
  <r>
    <s v="ORD2179"/>
    <d v="2024-02-26T00:00:00"/>
    <s v="C1006"/>
    <s v="P116"/>
    <x v="1"/>
    <s v="Latha Menon"/>
    <n v="6"/>
    <n v="0"/>
    <s v="Pending"/>
    <x v="4"/>
    <x v="1"/>
    <s v="P116"/>
    <s v="Sneakers"/>
    <s v="Clothing"/>
    <n v="4500"/>
    <s v="Chennai"/>
    <n v="27000"/>
    <s v="Feb-2024"/>
    <s v="Medium"/>
    <n v="0.04"/>
    <n v="1080"/>
    <x v="1"/>
    <s v="Consumer"/>
  </r>
  <r>
    <s v="ORD2045"/>
    <d v="2024-12-03T00:00:00"/>
    <s v="C1028"/>
    <s v="P116"/>
    <x v="2"/>
    <s v="Manoj Das"/>
    <n v="4"/>
    <n v="0"/>
    <s v="Paid"/>
    <x v="0"/>
    <x v="2"/>
    <s v="P116"/>
    <s v="Sneakers"/>
    <s v="Clothing"/>
    <n v="4500"/>
    <s v="Bengaluru"/>
    <n v="18000"/>
    <s v="Dec-2024"/>
    <s v="Small"/>
    <n v="0.03"/>
    <n v="540"/>
    <x v="0"/>
    <s v="Consumer"/>
  </r>
  <r>
    <s v="ORD2009"/>
    <d v="2024-08-26T00:00:00"/>
    <s v="C1031"/>
    <s v="P116"/>
    <x v="3"/>
    <s v="Sunita Rao"/>
    <n v="3"/>
    <n v="0"/>
    <s v="Paid"/>
    <x v="5"/>
    <x v="3"/>
    <s v="P116"/>
    <s v="Sneakers"/>
    <s v="Clothing"/>
    <n v="4500"/>
    <s v="Kolkata"/>
    <n v="13500"/>
    <s v="Aug-2024"/>
    <s v="Small"/>
    <n v="0.03"/>
    <n v="405"/>
    <x v="0"/>
    <s v="Corporate"/>
  </r>
  <r>
    <s v="ORD2175"/>
    <d v="2024-02-20T00:00:00"/>
    <s v="C1023"/>
    <s v="P116"/>
    <x v="1"/>
    <s v="Pooja Nair"/>
    <n v="2"/>
    <n v="0.1"/>
    <s v="Paid"/>
    <x v="2"/>
    <x v="1"/>
    <s v="P116"/>
    <s v="Sneakers"/>
    <s v="Clothing"/>
    <n v="4500"/>
    <s v="Hyderabad"/>
    <n v="8100"/>
    <s v="Feb-2024"/>
    <s v="Small"/>
    <n v="0.02"/>
    <n v="162"/>
    <x v="0"/>
    <s v="Corporate"/>
  </r>
  <r>
    <s v="ORD2166"/>
    <d v="2024-11-18T00:00:00"/>
    <s v="C1035"/>
    <s v="P116"/>
    <x v="2"/>
    <s v="Amit Verma"/>
    <n v="1"/>
    <n v="0.05"/>
    <s v="Paid"/>
    <x v="3"/>
    <x v="2"/>
    <s v="P116"/>
    <s v="Sneakers"/>
    <s v="Clothing"/>
    <n v="4500"/>
    <s v="Mumbai"/>
    <n v="4275"/>
    <s v="Nov-2024"/>
    <s v="Small"/>
    <n v="0.02"/>
    <n v="85.5"/>
    <x v="0"/>
    <s v="Home Office"/>
  </r>
  <r>
    <s v="ORD2137"/>
    <d v="2024-07-18T00:00:00"/>
    <s v="C1024"/>
    <s v="P115"/>
    <x v="2"/>
    <s v=" Kiran Shah  "/>
    <n v="1"/>
    <n v="0"/>
    <s v="Overdue"/>
    <x v="1"/>
    <x v="2"/>
    <s v="P115"/>
    <s v="Jacket"/>
    <s v="Clothing"/>
    <n v="3800"/>
    <s v="Mumbai"/>
    <n v="3800"/>
    <s v="Jul-2024"/>
    <s v="Small"/>
    <n v="0.02"/>
    <n v="76"/>
    <x v="0"/>
    <s v="Corporate"/>
  </r>
  <r>
    <s v="ORD2027"/>
    <d v="2024-02-20T00:00:00"/>
    <s v="C1033"/>
    <s v="P115"/>
    <x v="1"/>
    <s v="Sunita Rao"/>
    <n v="8"/>
    <n v="0"/>
    <s v="Overdue"/>
    <x v="5"/>
    <x v="1"/>
    <s v="P115"/>
    <s v="Jacket"/>
    <s v="Clothing"/>
    <n v="3800"/>
    <s v="Delhi"/>
    <n v="30400"/>
    <s v="Feb-2024"/>
    <s v="Medium"/>
    <n v="0.04"/>
    <n v="1216"/>
    <x v="0"/>
    <s v="Consumer"/>
  </r>
  <r>
    <s v="ORD2155"/>
    <d v="2024-12-28T00:00:00"/>
    <s v="C1010"/>
    <s v="P115"/>
    <x v="1"/>
    <s v="Sunita Rao"/>
    <n v="3"/>
    <n v="0.15"/>
    <s v="Paid"/>
    <x v="5"/>
    <x v="1"/>
    <s v="P115"/>
    <s v="Jacket"/>
    <s v="Clothing"/>
    <n v="3800"/>
    <s v="Pune"/>
    <n v="9690"/>
    <s v="Dec-2024"/>
    <s v="Small"/>
    <n v="0.02"/>
    <n v="193.8"/>
    <x v="0"/>
    <s v="Consumer"/>
  </r>
  <r>
    <s v="ORD2098"/>
    <d v="2024-04-04T00:00:00"/>
    <s v="C1026"/>
    <s v="P115"/>
    <x v="3"/>
    <s v="Sunita Rao"/>
    <n v="2"/>
    <n v="0"/>
    <s v="Paid"/>
    <x v="5"/>
    <x v="3"/>
    <s v="P115"/>
    <s v="Jacket"/>
    <s v="Clothing"/>
    <n v="3800"/>
    <s v="Hyderabad"/>
    <n v="7600"/>
    <s v="Apr-2024"/>
    <s v="Small"/>
    <n v="0.02"/>
    <n v="152"/>
    <x v="0"/>
    <s v="Corporate"/>
  </r>
  <r>
    <s v="ORD2030"/>
    <d v="2024-03-03T00:00:00"/>
    <s v="C1026"/>
    <s v="P115"/>
    <x v="3"/>
    <s v="Sunita Rao"/>
    <n v="4"/>
    <n v="0.05"/>
    <s v="Paid"/>
    <x v="5"/>
    <x v="3"/>
    <s v="P115"/>
    <s v="Jacket"/>
    <s v="Clothing"/>
    <n v="3800"/>
    <s v="Hyderabad"/>
    <n v="14440"/>
    <s v="Mar-2024"/>
    <s v="Small"/>
    <n v="0.03"/>
    <n v="433.2"/>
    <x v="0"/>
    <s v="Corporate"/>
  </r>
  <r>
    <s v="ORD2196"/>
    <d v="2024-02-21T00:00:00"/>
    <s v="C1037"/>
    <s v="P115"/>
    <x v="4"/>
    <s v="Reena Joshi"/>
    <n v="9"/>
    <n v="0"/>
    <s v="Paid"/>
    <x v="7"/>
    <x v="0"/>
    <s v="P115"/>
    <s v="Jacket"/>
    <s v="Clothing"/>
    <n v="3800"/>
    <s v="Chennai"/>
    <n v="34200"/>
    <s v="Feb-2024"/>
    <s v="Medium"/>
    <n v="0.04"/>
    <n v="1368"/>
    <x v="0"/>
    <s v="Corporate"/>
  </r>
  <r>
    <s v="ORD2040"/>
    <d v="2024-05-15T00:00:00"/>
    <s v="C1008"/>
    <s v="P115"/>
    <x v="1"/>
    <s v="Latha Menon"/>
    <n v="9"/>
    <n v="0.05"/>
    <s v="Paid"/>
    <x v="4"/>
    <x v="1"/>
    <s v="P115"/>
    <s v="Jacket"/>
    <s v="Clothing"/>
    <n v="3800"/>
    <s v="Bengaluru"/>
    <n v="32490"/>
    <s v="May-2024"/>
    <s v="Medium"/>
    <n v="0.04"/>
    <n v="1299.6000000000001"/>
    <x v="0"/>
    <s v="Home Office"/>
  </r>
  <r>
    <s v="ORD2190"/>
    <d v="2024-09-13T00:00:00"/>
    <s v="C1019"/>
    <s v="P115"/>
    <x v="1"/>
    <s v="Kiran Shah"/>
    <n v="5"/>
    <n v="0.1"/>
    <s v="Pending"/>
    <x v="1"/>
    <x v="1"/>
    <s v="P115"/>
    <s v="Jacket"/>
    <s v="Clothing"/>
    <n v="3800"/>
    <s v="Pune"/>
    <n v="17100"/>
    <s v="Sep-2024"/>
    <s v="Small"/>
    <n v="0.03"/>
    <n v="513"/>
    <x v="0"/>
    <s v="Consumer"/>
  </r>
  <r>
    <s v="ORD2100"/>
    <d v="2024-07-10T00:00:00"/>
    <s v="C1022"/>
    <s v="P115"/>
    <x v="4"/>
    <s v="Sunita Rao"/>
    <n v="1"/>
    <n v="0"/>
    <s v="Paid"/>
    <x v="5"/>
    <x v="0"/>
    <s v="P115"/>
    <s v="Jacket"/>
    <s v="Clothing"/>
    <n v="3800"/>
    <s v="Delhi"/>
    <n v="3800"/>
    <s v="Jul-2024"/>
    <s v="Small"/>
    <n v="0.02"/>
    <n v="76"/>
    <x v="0"/>
    <s v="Home Office"/>
  </r>
  <r>
    <s v="ORD2049"/>
    <d v="2024-03-21T00:00:00"/>
    <s v="C1018"/>
    <s v="P115"/>
    <x v="1"/>
    <s v="Manoj Das"/>
    <n v="6"/>
    <n v="0"/>
    <s v="Overdue"/>
    <x v="0"/>
    <x v="1"/>
    <s v="P115"/>
    <s v="Jacket"/>
    <s v="Clothing"/>
    <n v="3800"/>
    <s v="Chennai"/>
    <n v="22800"/>
    <s v="Mar-2024"/>
    <s v="Medium"/>
    <n v="0.03"/>
    <n v="684"/>
    <x v="0"/>
    <s v="Corporate"/>
  </r>
  <r>
    <s v="ORD2147"/>
    <d v="2024-01-25T00:00:00"/>
    <s v="C1024"/>
    <s v="P115"/>
    <x v="1"/>
    <s v="Manoj Das"/>
    <n v="9"/>
    <n v="0.15"/>
    <s v="Pending"/>
    <x v="0"/>
    <x v="1"/>
    <s v="P115"/>
    <s v="Jacket"/>
    <s v="Clothing"/>
    <n v="3800"/>
    <s v="Mumbai"/>
    <n v="29070"/>
    <s v="Jan-2024"/>
    <s v="Medium"/>
    <n v="0.04"/>
    <n v="1162.8"/>
    <x v="1"/>
    <s v="Corporate"/>
  </r>
  <r>
    <s v="ORD2192"/>
    <d v="2024-11-24T00:00:00"/>
    <s v="C1008"/>
    <s v="P115"/>
    <x v="2"/>
    <s v="Latha Menon"/>
    <n v="5"/>
    <n v="0.15"/>
    <s v="Paid"/>
    <x v="4"/>
    <x v="2"/>
    <s v="P115"/>
    <s v="Jacket"/>
    <s v="Clothing"/>
    <n v="3800"/>
    <s v="Bengaluru"/>
    <n v="16150"/>
    <s v="Nov-2024"/>
    <s v="Small"/>
    <n v="0.03"/>
    <n v="484.5"/>
    <x v="0"/>
    <s v="Home Office"/>
  </r>
  <r>
    <s v="ORD2059"/>
    <d v="2024-09-14T00:00:00"/>
    <s v="C1035"/>
    <s v="P103"/>
    <x v="1"/>
    <s v="Reena Joshi"/>
    <n v="5"/>
    <n v="0"/>
    <s v="Paid"/>
    <x v="7"/>
    <x v="1"/>
    <s v="P103"/>
    <s v="Headphones"/>
    <s v="Electronics"/>
    <n v="3500"/>
    <s v="Mumbai"/>
    <n v="17500"/>
    <s v="Sep-2024"/>
    <s v="Small"/>
    <n v="0.03"/>
    <n v="525"/>
    <x v="0"/>
    <s v="Home Office"/>
  </r>
  <r>
    <s v="ORD2051"/>
    <d v="2024-06-20T00:00:00"/>
    <s v="C1025"/>
    <s v="P103"/>
    <x v="2"/>
    <s v="Manoj Das"/>
    <n v="9"/>
    <n v="0.15"/>
    <s v="Paid"/>
    <x v="0"/>
    <x v="2"/>
    <s v="P103"/>
    <s v="Headphones"/>
    <s v="Electronics"/>
    <n v="3500"/>
    <s v="Kolkata"/>
    <n v="26775"/>
    <s v="Jun-2024"/>
    <s v="Medium"/>
    <n v="0.04"/>
    <n v="1071"/>
    <x v="0"/>
    <s v="Consumer"/>
  </r>
  <r>
    <s v="ORD2066"/>
    <d v="2024-02-08T00:00:00"/>
    <s v="C1038"/>
    <s v="P103"/>
    <x v="4"/>
    <s v="Manoj Das"/>
    <n v="6"/>
    <n v="0"/>
    <s v="Overdue"/>
    <x v="0"/>
    <x v="0"/>
    <s v="P103"/>
    <s v="Headphones"/>
    <s v="Electronics"/>
    <n v="3500"/>
    <s v="Mumbai"/>
    <n v="21000"/>
    <s v="Feb-2024"/>
    <s v="Medium"/>
    <n v="0.03"/>
    <n v="630"/>
    <x v="0"/>
    <s v="Corporate"/>
  </r>
  <r>
    <s v="ORD2036"/>
    <d v="2024-04-27T00:00:00"/>
    <s v="C1007"/>
    <s v="P103"/>
    <x v="3"/>
    <s v="Manoj Das"/>
    <n v="1"/>
    <n v="0"/>
    <s v="Paid"/>
    <x v="0"/>
    <x v="3"/>
    <s v="P103"/>
    <s v="Headphones"/>
    <s v="Electronics"/>
    <n v="3500"/>
    <s v="Bengaluru"/>
    <n v="3500"/>
    <s v="Apr-2024"/>
    <s v="Small"/>
    <n v="0.02"/>
    <n v="70"/>
    <x v="0"/>
    <s v="Consumer"/>
  </r>
  <r>
    <s v="ORD2128"/>
    <d v="2024-08-04T00:00:00"/>
    <s v="C1008"/>
    <s v="P103"/>
    <x v="2"/>
    <s v="Latha Menon"/>
    <n v="8"/>
    <n v="0"/>
    <s v="Paid"/>
    <x v="4"/>
    <x v="2"/>
    <s v="P103"/>
    <s v="Headphones"/>
    <s v="Electronics"/>
    <n v="3500"/>
    <s v="Bengaluru"/>
    <n v="28000"/>
    <s v="Aug-2024"/>
    <s v="Medium"/>
    <n v="0.04"/>
    <n v="1120"/>
    <x v="0"/>
    <s v="Home Office"/>
  </r>
  <r>
    <s v="ORD2092"/>
    <d v="2024-12-11T00:00:00"/>
    <s v="C1027"/>
    <s v="P103"/>
    <x v="3"/>
    <s v="Pooja Nair"/>
    <n v="7"/>
    <n v="0"/>
    <s v="Paid"/>
    <x v="2"/>
    <x v="3"/>
    <s v="P103"/>
    <s v="Headphones"/>
    <s v="Electronics"/>
    <n v="3500"/>
    <s v="Hyderabad"/>
    <n v="24500"/>
    <s v="Dec-2024"/>
    <s v="Medium"/>
    <n v="0.03"/>
    <n v="735"/>
    <x v="0"/>
    <s v="Corporate"/>
  </r>
  <r>
    <s v="ORD2001"/>
    <d v="2024-04-28T00:00:00"/>
    <s v="C1010"/>
    <s v="P103"/>
    <x v="0"/>
    <s v="Kiran Shah"/>
    <n v="4"/>
    <n v="0.15"/>
    <s v="Paid"/>
    <x v="1"/>
    <x v="0"/>
    <s v="P103"/>
    <s v="Headphones"/>
    <s v="Electronics"/>
    <n v="3500"/>
    <s v="Pune"/>
    <n v="11900"/>
    <s v="Apr-2024"/>
    <s v="Small"/>
    <n v="0.03"/>
    <n v="357"/>
    <x v="0"/>
    <s v="Consumer"/>
  </r>
  <r>
    <s v="ORD2071"/>
    <d v="2024-05-09T00:00:00"/>
    <s v="C1024"/>
    <s v="P103"/>
    <x v="2"/>
    <s v="Faisal Khan"/>
    <n v="10"/>
    <n v="0"/>
    <s v="Paid"/>
    <x v="6"/>
    <x v="2"/>
    <s v="P103"/>
    <s v="Headphones"/>
    <s v="Electronics"/>
    <n v="3500"/>
    <s v="Mumbai"/>
    <n v="35000"/>
    <s v="May-2024"/>
    <s v="Medium"/>
    <n v="0.04"/>
    <n v="1400"/>
    <x v="0"/>
    <s v="Corporate"/>
  </r>
  <r>
    <s v="ORD2039"/>
    <d v="2024-05-17T00:00:00"/>
    <s v="C1002"/>
    <s v="P103"/>
    <x v="3"/>
    <s v="Sunita Rao"/>
    <n v="10"/>
    <n v="0"/>
    <s v="Paid"/>
    <x v="5"/>
    <x v="3"/>
    <s v="P103"/>
    <s v="Headphones"/>
    <s v="Electronics"/>
    <n v="3500"/>
    <s v="Pune"/>
    <n v="35000"/>
    <s v="May-2024"/>
    <s v="Medium"/>
    <n v="0.04"/>
    <n v="1400"/>
    <x v="0"/>
    <s v="Home Office"/>
  </r>
  <r>
    <s v="ORD2018"/>
    <d v="2024-08-25T00:00:00"/>
    <s v="C1026"/>
    <s v="P103 "/>
    <x v="4"/>
    <s v="Kiran Shah"/>
    <n v="3"/>
    <n v="0"/>
    <s v="Paid"/>
    <x v="1"/>
    <x v="0"/>
    <s v="P103"/>
    <s v="Headphones"/>
    <s v="Electronics"/>
    <n v="3500"/>
    <s v="Hyderabad"/>
    <n v="10500"/>
    <s v="Aug-2024"/>
    <s v="Small"/>
    <n v="0.03"/>
    <n v="315"/>
    <x v="0"/>
    <s v="Corporate"/>
  </r>
  <r>
    <s v="ORD2199"/>
    <d v="2024-02-01T00:00:00"/>
    <s v="C1001"/>
    <s v="P103 "/>
    <x v="2"/>
    <s v="Faisal Khan"/>
    <n v="6"/>
    <n v="0.1"/>
    <s v="Paid"/>
    <x v="6"/>
    <x v="2"/>
    <s v="P103"/>
    <s v="Headphones"/>
    <s v="Electronics"/>
    <n v="3500"/>
    <s v="Chennai"/>
    <n v="18900"/>
    <s v="Feb-2024"/>
    <s v="Small"/>
    <n v="0.03"/>
    <n v="567"/>
    <x v="0"/>
    <s v="Home Office"/>
  </r>
  <r>
    <s v="ORD2065"/>
    <d v="2024-05-28T00:00:00"/>
    <s v="C1030"/>
    <s v="P103"/>
    <x v="6"/>
    <s v="Manoj Das"/>
    <n v="7"/>
    <n v="0"/>
    <s v="Paid"/>
    <x v="0"/>
    <x v="2"/>
    <s v="P103"/>
    <s v="Headphones"/>
    <s v="Electronics"/>
    <n v="3500"/>
    <s v="Kolkata"/>
    <n v="24500"/>
    <s v="May-2024"/>
    <s v="Medium"/>
    <n v="0.03"/>
    <n v="735"/>
    <x v="0"/>
    <s v="Home Office"/>
  </r>
  <r>
    <s v="ORD2112"/>
    <d v="2024-05-15T00:00:00"/>
    <s v="C1040"/>
    <s v="P103"/>
    <x v="4"/>
    <s v="Sunita Rao"/>
    <n v="7"/>
    <n v="0.05"/>
    <s v="Pending"/>
    <x v="5"/>
    <x v="0"/>
    <s v="P103"/>
    <s v="Headphones"/>
    <s v="Electronics"/>
    <n v="3500"/>
    <s v="Kolkata"/>
    <n v="23275"/>
    <s v="May-2024"/>
    <s v="Medium"/>
    <n v="0.03"/>
    <n v="698.25"/>
    <x v="1"/>
    <s v="Corporate"/>
  </r>
  <r>
    <s v="ORD2094"/>
    <d v="2024-05-29T00:00:00"/>
    <s v="C1033"/>
    <s v="P103"/>
    <x v="4"/>
    <s v="Reena Joshi"/>
    <n v="4"/>
    <n v="0"/>
    <s v="Paid"/>
    <x v="7"/>
    <x v="0"/>
    <s v="P103"/>
    <s v="Headphones"/>
    <s v="Electronics"/>
    <n v="3500"/>
    <s v="Delhi"/>
    <n v="14000"/>
    <s v="May-2024"/>
    <s v="Small"/>
    <n v="0.03"/>
    <n v="420"/>
    <x v="0"/>
    <s v="Consumer"/>
  </r>
  <r>
    <s v="ORD2044"/>
    <d v="2024-01-10T00:00:00"/>
    <s v="C1033"/>
    <s v="P118"/>
    <x v="4"/>
    <s v="Reena Joshi"/>
    <n v="4"/>
    <n v="0.05"/>
    <s v="Paid"/>
    <x v="7"/>
    <x v="0"/>
    <s v="P118"/>
    <s v="Jeans"/>
    <s v="Clothing"/>
    <n v="2800"/>
    <s v="Delhi"/>
    <n v="10640"/>
    <s v="Jan-2024"/>
    <s v="Small"/>
    <n v="0.03"/>
    <n v="319.2"/>
    <x v="0"/>
    <s v="Consumer"/>
  </r>
  <r>
    <s v="ORD2079"/>
    <d v="2024-08-06T00:00:00"/>
    <s v="C1009"/>
    <s v="P118"/>
    <x v="4"/>
    <s v="Pooja Nair"/>
    <n v="2"/>
    <n v="0"/>
    <s v="Paid"/>
    <x v="2"/>
    <x v="0"/>
    <s v="P118"/>
    <s v="Jeans"/>
    <s v="Clothing"/>
    <n v="2800"/>
    <s v="Bengaluru"/>
    <n v="5600"/>
    <s v="Aug-2024"/>
    <s v="Small"/>
    <n v="0.02"/>
    <n v="112"/>
    <x v="0"/>
    <s v="Consumer"/>
  </r>
  <r>
    <s v="ORD2111"/>
    <d v="2024-09-03T00:00:00"/>
    <s v="C1036"/>
    <s v="P118"/>
    <x v="3"/>
    <s v="Kiran Shah"/>
    <n v="7"/>
    <n v="0"/>
    <s v="Paid"/>
    <x v="1"/>
    <x v="3"/>
    <s v="P118"/>
    <s v="Jeans"/>
    <s v="Clothing"/>
    <n v="2800"/>
    <s v="Chennai"/>
    <n v="19600"/>
    <s v="Sep-2024"/>
    <s v="Small"/>
    <n v="0.03"/>
    <n v="588"/>
    <x v="0"/>
    <s v="Corporate"/>
  </r>
  <r>
    <s v="ORD2170"/>
    <d v="2024-07-05T00:00:00"/>
    <s v="C1013"/>
    <s v="P118"/>
    <x v="1"/>
    <s v="Faisal Khan"/>
    <n v="2"/>
    <n v="0"/>
    <s v="Paid"/>
    <x v="6"/>
    <x v="1"/>
    <s v="P118"/>
    <s v="Jeans"/>
    <s v="Clothing"/>
    <n v="2800"/>
    <s v="Bengaluru"/>
    <n v="5600"/>
    <s v="Jul-2024"/>
    <s v="Small"/>
    <n v="0.02"/>
    <n v="112"/>
    <x v="0"/>
    <s v="Home Office"/>
  </r>
  <r>
    <s v="ORD2026"/>
    <d v="2024-09-04T00:00:00"/>
    <s v="C1007"/>
    <s v="P118"/>
    <x v="1"/>
    <s v="Pooja Nair"/>
    <n v="4"/>
    <n v="0"/>
    <s v="Paid"/>
    <x v="2"/>
    <x v="1"/>
    <s v="P118"/>
    <s v="Jeans"/>
    <s v="Clothing"/>
    <n v="2800"/>
    <s v="Bengaluru"/>
    <n v="11200"/>
    <s v="Sep-2024"/>
    <s v="Small"/>
    <n v="0.03"/>
    <n v="336"/>
    <x v="0"/>
    <s v="Consumer"/>
  </r>
  <r>
    <s v="ORD2183"/>
    <d v="2024-03-20T00:00:00"/>
    <s v="C1029"/>
    <s v="P118"/>
    <x v="3"/>
    <s v="Kiran Shah"/>
    <n v="8"/>
    <n v="0.05"/>
    <s v="Paid"/>
    <x v="1"/>
    <x v="3"/>
    <s v="P118"/>
    <s v="Jeans"/>
    <s v="Clothing"/>
    <n v="2800"/>
    <s v="Kolkata"/>
    <n v="21280"/>
    <s v="Mar-2024"/>
    <s v="Medium"/>
    <n v="0.03"/>
    <n v="638.4"/>
    <x v="0"/>
    <s v="Home Office"/>
  </r>
  <r>
    <s v="ORD2129"/>
    <d v="2024-01-08T00:00:00"/>
    <s v="C1004"/>
    <s v="P118"/>
    <x v="4"/>
    <s v="Faisal Khan"/>
    <n v="2"/>
    <n v="0.1"/>
    <s v="Overdue"/>
    <x v="6"/>
    <x v="0"/>
    <s v="P118"/>
    <s v="Jeans"/>
    <s v="Clothing"/>
    <n v="2800"/>
    <s v="Bengaluru"/>
    <n v="5040"/>
    <s v="Jan-2024"/>
    <s v="Small"/>
    <n v="0.02"/>
    <n v="100.8"/>
    <x v="0"/>
    <s v="Consumer"/>
  </r>
  <r>
    <s v="ORD2025"/>
    <d v="2024-11-12T00:00:00"/>
    <s v="C1008"/>
    <s v="P118"/>
    <x v="1"/>
    <s v="Latha Menon"/>
    <n v="9"/>
    <n v="0.1"/>
    <s v="Overdue"/>
    <x v="4"/>
    <x v="1"/>
    <s v="P118"/>
    <s v="Jeans"/>
    <s v="Clothing"/>
    <n v="2800"/>
    <s v="Bengaluru"/>
    <n v="22680"/>
    <s v="Nov-2024"/>
    <s v="Medium"/>
    <n v="0.03"/>
    <n v="680.4"/>
    <x v="0"/>
    <s v="Home Office"/>
  </r>
  <r>
    <s v="ORD2099"/>
    <d v="2024-04-07T00:00:00"/>
    <s v="C1012"/>
    <s v="P117"/>
    <x v="2"/>
    <s v="Amit Verma"/>
    <n v="5"/>
    <n v="0.15"/>
    <s v="Pending"/>
    <x v="3"/>
    <x v="2"/>
    <s v="P117"/>
    <s v="T-Shirt Pack"/>
    <s v="Clothing"/>
    <n v="1500"/>
    <s v="Delhi"/>
    <n v="6375"/>
    <s v="Apr-2024"/>
    <s v="Small"/>
    <n v="0.02"/>
    <n v="127.5"/>
    <x v="0"/>
    <s v="Home Office"/>
  </r>
  <r>
    <s v="ORD2078"/>
    <d v="2024-02-08T00:00:00"/>
    <s v="C1014"/>
    <s v="P117"/>
    <x v="7"/>
    <s v="Pooja Nair"/>
    <n v="8"/>
    <n v="0"/>
    <s v="Pending"/>
    <x v="2"/>
    <x v="2"/>
    <s v="P117"/>
    <s v="T-Shirt Pack"/>
    <s v="Clothing"/>
    <n v="1500"/>
    <s v="Delhi"/>
    <n v="12000"/>
    <s v="Feb-2024"/>
    <s v="Small"/>
    <n v="0.03"/>
    <n v="360"/>
    <x v="0"/>
    <s v="Consumer"/>
  </r>
  <r>
    <s v="ORD2117"/>
    <d v="2024-05-05T00:00:00"/>
    <s v="C1033"/>
    <s v="P117"/>
    <x v="4"/>
    <s v="Sunita Rao"/>
    <n v="8"/>
    <n v="0"/>
    <s v="Paid"/>
    <x v="5"/>
    <x v="0"/>
    <s v="P117"/>
    <s v="T-Shirt Pack"/>
    <s v="Clothing"/>
    <n v="1500"/>
    <s v="Delhi"/>
    <n v="12000"/>
    <s v="May-2024"/>
    <s v="Small"/>
    <n v="0.03"/>
    <n v="360"/>
    <x v="0"/>
    <s v="Consumer"/>
  </r>
  <r>
    <s v="ORD2028"/>
    <d v="2024-09-15T00:00:00"/>
    <s v="C1039"/>
    <s v="P117"/>
    <x v="4"/>
    <s v="Manoj Das"/>
    <n v="8"/>
    <n v="0.1"/>
    <s v="Overdue"/>
    <x v="0"/>
    <x v="0"/>
    <s v="P117"/>
    <s v="T-Shirt Pack"/>
    <s v="Clothing"/>
    <n v="1500"/>
    <s v="Delhi"/>
    <n v="10800"/>
    <s v="Sep-2024"/>
    <s v="Small"/>
    <n v="0.03"/>
    <n v="324"/>
    <x v="0"/>
    <s v="Home Office"/>
  </r>
  <r>
    <s v="ORD2023"/>
    <d v="2024-09-21T00:00:00"/>
    <s v="C1027"/>
    <s v="P117"/>
    <x v="4"/>
    <s v="Kiran Shah"/>
    <n v="9"/>
    <n v="0.1"/>
    <s v="Paid"/>
    <x v="1"/>
    <x v="0"/>
    <s v="P117"/>
    <s v="T-Shirt Pack"/>
    <s v="Clothing"/>
    <n v="1500"/>
    <s v="Hyderabad"/>
    <n v="12150"/>
    <s v="Sep-2024"/>
    <s v="Small"/>
    <n v="0.03"/>
    <n v="364.5"/>
    <x v="0"/>
    <s v="Corporate"/>
  </r>
  <r>
    <s v="ORD2086"/>
    <d v="2024-03-20T00:00:00"/>
    <s v="C1010"/>
    <s v="P117"/>
    <x v="1"/>
    <s v="Reena Joshi"/>
    <n v="2"/>
    <n v="0.1"/>
    <s v="Paid"/>
    <x v="7"/>
    <x v="1"/>
    <s v="P117"/>
    <s v="T-Shirt Pack"/>
    <s v="Clothing"/>
    <n v="1500"/>
    <s v="Pune"/>
    <n v="2700"/>
    <s v="Mar-2024"/>
    <s v="Small"/>
    <n v="0.02"/>
    <n v="54"/>
    <x v="0"/>
    <s v="Consumer"/>
  </r>
  <r>
    <s v="ORD2181"/>
    <d v="2024-08-07T00:00:00"/>
    <s v="C1035"/>
    <s v="P117"/>
    <x v="0"/>
    <s v="Faisal Khan"/>
    <n v="4"/>
    <n v="0.05"/>
    <s v="Paid"/>
    <x v="6"/>
    <x v="0"/>
    <s v="P117"/>
    <s v="T-Shirt Pack"/>
    <s v="Clothing"/>
    <n v="1500"/>
    <s v="Mumbai"/>
    <n v="5700"/>
    <s v="Aug-2024"/>
    <s v="Small"/>
    <n v="0.02"/>
    <n v="114"/>
    <x v="0"/>
    <s v="Home Office"/>
  </r>
  <r>
    <s v="ORD2054"/>
    <d v="2024-02-13T00:00:00"/>
    <s v="C1038"/>
    <s v="P117"/>
    <x v="4"/>
    <s v=" Faisal Khan  "/>
    <n v="6"/>
    <n v="0.15"/>
    <s v="Pending"/>
    <x v="6"/>
    <x v="0"/>
    <s v="P117"/>
    <s v="T-Shirt Pack"/>
    <s v="Clothing"/>
    <n v="1500"/>
    <s v="Mumbai"/>
    <n v="7650"/>
    <s v="Feb-2024"/>
    <s v="Small"/>
    <n v="0.02"/>
    <n v="153"/>
    <x v="0"/>
    <s v="Corporate"/>
  </r>
  <r>
    <s v="ORD2033"/>
    <d v="2024-03-23T00:00:00"/>
    <s v="C1028"/>
    <s v="P117"/>
    <x v="2"/>
    <s v="Latha Menon"/>
    <n v="7"/>
    <n v="0"/>
    <s v="Paid"/>
    <x v="4"/>
    <x v="2"/>
    <s v="P117"/>
    <s v="T-Shirt Pack"/>
    <s v="Clothing"/>
    <n v="1500"/>
    <s v="Bengaluru"/>
    <n v="10500"/>
    <s v="Mar-2024"/>
    <s v="Small"/>
    <n v="0.03"/>
    <n v="315"/>
    <x v="0"/>
    <s v="Consumer"/>
  </r>
  <r>
    <s v="ORD2085"/>
    <d v="2024-02-07T00:00:00"/>
    <s v="C1026"/>
    <s v="P117"/>
    <x v="2"/>
    <s v="Reena Joshi"/>
    <n v="4"/>
    <n v="0"/>
    <s v="Paid"/>
    <x v="7"/>
    <x v="2"/>
    <s v="P117"/>
    <s v="T-Shirt Pack"/>
    <s v="Clothing"/>
    <n v="1500"/>
    <s v="Hyderabad"/>
    <n v="6000"/>
    <s v="Feb-2024"/>
    <s v="Small"/>
    <n v="0.02"/>
    <n v="120"/>
    <x v="0"/>
    <s v="Corporate"/>
  </r>
  <r>
    <s v="ORD2157"/>
    <d v="2024-08-15T00:00:00"/>
    <s v="C1039"/>
    <s v="P117"/>
    <x v="2"/>
    <s v="Pooja Nair"/>
    <n v="3"/>
    <n v="0"/>
    <s v="Paid"/>
    <x v="2"/>
    <x v="2"/>
    <s v="P117"/>
    <s v="T-Shirt Pack"/>
    <s v="Clothing"/>
    <n v="1500"/>
    <s v="Delhi"/>
    <n v="4500"/>
    <s v="Aug-2024"/>
    <s v="Small"/>
    <n v="0.02"/>
    <n v="90"/>
    <x v="0"/>
    <s v="Home Office"/>
  </r>
  <r>
    <s v="ORD2110"/>
    <d v="2024-09-19T00:00:00"/>
    <s v="C1013"/>
    <s v="P113"/>
    <x v="4"/>
    <s v="Pooja Nair"/>
    <n v="7"/>
    <n v="0"/>
    <s v="Paid"/>
    <x v="2"/>
    <x v="0"/>
    <s v="P113"/>
    <s v="Protein Bar Box"/>
    <s v="Grocery"/>
    <n v="1200"/>
    <s v="Bengaluru"/>
    <n v="8400"/>
    <s v="Sep-2024"/>
    <s v="Small"/>
    <n v="0.02"/>
    <n v="168"/>
    <x v="0"/>
    <s v="Home Office"/>
  </r>
  <r>
    <s v="ORD2081"/>
    <d v="2024-01-11T00:00:00"/>
    <s v="C1027"/>
    <s v="P113"/>
    <x v="2"/>
    <s v="Pooja Nair"/>
    <n v="7"/>
    <n v="0"/>
    <s v="Paid"/>
    <x v="2"/>
    <x v="2"/>
    <s v="P113"/>
    <s v="Protein Bar Box"/>
    <s v="Grocery"/>
    <n v="1200"/>
    <s v="Hyderabad"/>
    <n v="8400"/>
    <s v="Jan-2024"/>
    <s v="Small"/>
    <n v="0.02"/>
    <n v="168"/>
    <x v="0"/>
    <s v="Corporate"/>
  </r>
  <r>
    <s v="ORD2148"/>
    <d v="2024-07-09T00:00:00"/>
    <s v="C1017"/>
    <s v="P113"/>
    <x v="3"/>
    <s v="Kiran Shah"/>
    <n v="6"/>
    <n v="0"/>
    <s v="Paid"/>
    <x v="1"/>
    <x v="3"/>
    <s v="P113"/>
    <s v="Protein Bar Box"/>
    <s v="Grocery"/>
    <n v="1200"/>
    <s v="Pune"/>
    <n v="7200"/>
    <s v="Jul-2024"/>
    <s v="Small"/>
    <n v="0.02"/>
    <n v="144"/>
    <x v="0"/>
    <s v="Corporate"/>
  </r>
  <r>
    <s v="ORD2134"/>
    <d v="2024-04-21T00:00:00"/>
    <s v="C1003"/>
    <s v="P113"/>
    <x v="4"/>
    <s v="Faisal Khan"/>
    <n v="6"/>
    <n v="0"/>
    <s v="Paid"/>
    <x v="6"/>
    <x v="0"/>
    <s v="P113"/>
    <s v="Protein Bar Box"/>
    <s v="Grocery"/>
    <n v="1200"/>
    <s v="Hyderabad"/>
    <n v="7200"/>
    <s v="Apr-2024"/>
    <s v="Small"/>
    <n v="0.02"/>
    <n v="144"/>
    <x v="0"/>
    <s v="Consumer"/>
  </r>
  <r>
    <s v="ORD2035"/>
    <d v="2024-12-26T00:00:00"/>
    <s v="C1002"/>
    <s v="P113"/>
    <x v="3"/>
    <s v="Manoj Das"/>
    <n v="9"/>
    <n v="0"/>
    <s v="Paid"/>
    <x v="0"/>
    <x v="3"/>
    <s v="P113"/>
    <s v="Protein Bar Box"/>
    <s v="Grocery"/>
    <n v="1200"/>
    <s v="Pune"/>
    <n v="10800"/>
    <s v="Dec-2024"/>
    <s v="Small"/>
    <n v="0.03"/>
    <n v="324"/>
    <x v="0"/>
    <s v="Home Office"/>
  </r>
  <r>
    <s v="ORD2046"/>
    <d v="2024-04-11T00:00:00"/>
    <s v="C1009"/>
    <s v="P113"/>
    <x v="3"/>
    <s v="Amit Verma"/>
    <n v="3"/>
    <n v="0"/>
    <s v="Paid"/>
    <x v="3"/>
    <x v="3"/>
    <s v="P113"/>
    <s v="Protein Bar Box"/>
    <s v="Grocery"/>
    <n v="1200"/>
    <s v="Bengaluru"/>
    <n v="3600"/>
    <s v="Apr-2024"/>
    <s v="Small"/>
    <n v="0.02"/>
    <n v="72"/>
    <x v="0"/>
    <s v="Consumer"/>
  </r>
  <r>
    <s v="ORD2004"/>
    <d v="2024-08-21T00:00:00"/>
    <s v="C1036"/>
    <s v="P113"/>
    <x v="2"/>
    <s v="Faisal Khan"/>
    <n v="7"/>
    <n v="0"/>
    <s v="Pending"/>
    <x v="6"/>
    <x v="2"/>
    <s v="P113"/>
    <s v="Protein Bar Box"/>
    <s v="Grocery"/>
    <n v="1200"/>
    <s v="Chennai"/>
    <n v="8400"/>
    <s v="Aug-2024"/>
    <s v="Small"/>
    <n v="0.02"/>
    <n v="168"/>
    <x v="0"/>
    <s v="Corporate"/>
  </r>
  <r>
    <s v="ORD2193"/>
    <d v="2024-08-02T00:00:00"/>
    <s v="C1016"/>
    <s v="P113"/>
    <x v="4"/>
    <s v="Manoj Das"/>
    <n v="7"/>
    <n v="0.05"/>
    <s v="Pending"/>
    <x v="0"/>
    <x v="0"/>
    <s v="P113"/>
    <s v="Protein Bar Box"/>
    <s v="Grocery"/>
    <n v="1200"/>
    <s v="Chennai"/>
    <n v="7980"/>
    <s v="Aug-2024"/>
    <s v="Small"/>
    <n v="0.02"/>
    <n v="159.6"/>
    <x v="0"/>
    <s v="Home Office"/>
  </r>
  <r>
    <s v="ORD2053"/>
    <d v="2024-10-27T00:00:00"/>
    <s v="C1003"/>
    <s v="P113"/>
    <x v="1"/>
    <s v="Manoj Das"/>
    <n v="5"/>
    <n v="0.15"/>
    <s v="Paid"/>
    <x v="0"/>
    <x v="1"/>
    <s v="P113"/>
    <s v="Protein Bar Box"/>
    <s v="Grocery"/>
    <n v="1200"/>
    <s v="Hyderabad"/>
    <n v="5100"/>
    <s v="Oct-2024"/>
    <s v="Small"/>
    <n v="0.02"/>
    <n v="102"/>
    <x v="0"/>
    <s v="Consumer"/>
  </r>
  <r>
    <s v="ORD2070"/>
    <d v="2024-06-15T00:00:00"/>
    <s v="C1022"/>
    <s v="P113"/>
    <x v="1"/>
    <s v="Pooja Nair"/>
    <n v="1"/>
    <n v="0.15"/>
    <s v="Paid"/>
    <x v="2"/>
    <x v="1"/>
    <s v="P113"/>
    <s v="Protein Bar Box"/>
    <s v="Grocery"/>
    <n v="1200"/>
    <s v="Delhi"/>
    <n v="1020"/>
    <s v="Jun-2024"/>
    <s v="Small"/>
    <n v="0.02"/>
    <n v="20.400000000000002"/>
    <x v="0"/>
    <s v="Home Office"/>
  </r>
  <r>
    <s v="ORD2127"/>
    <d v="2024-11-25T00:00:00"/>
    <s v="C1013"/>
    <s v="P113"/>
    <x v="2"/>
    <s v="Pooja Nair"/>
    <n v="1"/>
    <n v="0.05"/>
    <s v="Paid"/>
    <x v="2"/>
    <x v="2"/>
    <s v="P113"/>
    <s v="Protein Bar Box"/>
    <s v="Grocery"/>
    <n v="1200"/>
    <s v="Bengaluru"/>
    <n v="1140"/>
    <s v="Nov-2024"/>
    <s v="Small"/>
    <n v="0.02"/>
    <n v="22.8"/>
    <x v="0"/>
    <s v="Home Office"/>
  </r>
  <r>
    <s v="ORD2125"/>
    <d v="2024-02-16T00:00:00"/>
    <s v="C1011"/>
    <s v="P113"/>
    <x v="3"/>
    <s v="Faisal Khan"/>
    <n v="5"/>
    <n v="0.15"/>
    <s v="Paid"/>
    <x v="6"/>
    <x v="3"/>
    <s v="P113"/>
    <s v="Protein Bar Box"/>
    <s v="Grocery"/>
    <n v="1200"/>
    <s v="Mumbai"/>
    <n v="5100"/>
    <s v="Feb-2024"/>
    <s v="Small"/>
    <n v="0.02"/>
    <n v="102"/>
    <x v="0"/>
    <s v="Home Office"/>
  </r>
  <r>
    <s v="ORD2153"/>
    <d v="2024-02-24T00:00:00"/>
    <s v="C1034"/>
    <s v="P112"/>
    <x v="4"/>
    <s v="Faisal Khan"/>
    <n v="10"/>
    <n v="0"/>
    <s v="Overdue"/>
    <x v="6"/>
    <x v="0"/>
    <s v="P112"/>
    <s v="Olive Oil"/>
    <s v="Grocery"/>
    <n v="980"/>
    <s v="Chennai"/>
    <n v="9800"/>
    <s v="Feb-2024"/>
    <s v="Small"/>
    <n v="0.02"/>
    <n v="196"/>
    <x v="0"/>
    <s v="Consumer"/>
  </r>
  <r>
    <s v="ORD2198"/>
    <d v="2024-03-03T00:00:00"/>
    <s v="C1040"/>
    <s v="P112"/>
    <x v="1"/>
    <s v="Manoj Das"/>
    <n v="5"/>
    <n v="0.05"/>
    <s v="Pending"/>
    <x v="0"/>
    <x v="1"/>
    <s v="P112"/>
    <s v="Olive Oil"/>
    <s v="Grocery"/>
    <n v="980"/>
    <s v="Kolkata"/>
    <n v="4655"/>
    <s v="Mar-2024"/>
    <s v="Small"/>
    <n v="0.02"/>
    <n v="93.100000000000009"/>
    <x v="0"/>
    <s v="Corporate"/>
  </r>
  <r>
    <s v="ORD2069"/>
    <d v="2024-03-13T00:00:00"/>
    <s v="C1027"/>
    <s v="P112"/>
    <x v="2"/>
    <s v="Latha Menon"/>
    <n v="2"/>
    <n v="0"/>
    <s v="Paid"/>
    <x v="4"/>
    <x v="2"/>
    <s v="P112"/>
    <s v="Olive Oil"/>
    <s v="Grocery"/>
    <n v="980"/>
    <s v="Hyderabad"/>
    <n v="1960"/>
    <s v="Mar-2024"/>
    <s v="Small"/>
    <n v="0.02"/>
    <n v="39.200000000000003"/>
    <x v="0"/>
    <s v="Corporate"/>
  </r>
  <r>
    <s v="ORD2007"/>
    <d v="2024-10-01T00:00:00"/>
    <s v="C1007"/>
    <s v="P112"/>
    <x v="1"/>
    <s v="Sunita Rao"/>
    <n v="4"/>
    <n v="0.1"/>
    <s v="Pending"/>
    <x v="5"/>
    <x v="1"/>
    <s v="P112"/>
    <s v="Olive Oil"/>
    <s v="Grocery"/>
    <n v="980"/>
    <s v="Bengaluru"/>
    <n v="3528"/>
    <s v="Oct-2024"/>
    <s v="Small"/>
    <n v="0.02"/>
    <n v="70.56"/>
    <x v="0"/>
    <s v="Consumer"/>
  </r>
  <r>
    <s v="ORD2003"/>
    <d v="2024-08-02T00:00:00"/>
    <s v="C1035"/>
    <s v="P112"/>
    <x v="3"/>
    <s v="Kiran Shah"/>
    <n v="9"/>
    <n v="0.1"/>
    <s v="Paid"/>
    <x v="1"/>
    <x v="3"/>
    <s v="P112"/>
    <s v="Olive Oil"/>
    <s v="Grocery"/>
    <n v="980"/>
    <s v="Mumbai"/>
    <n v="7938"/>
    <s v="Aug-2024"/>
    <s v="Small"/>
    <n v="0.02"/>
    <n v="158.76"/>
    <x v="0"/>
    <s v="Home Office"/>
  </r>
  <r>
    <s v="ORD2034"/>
    <d v="2024-06-12T00:00:00"/>
    <s v="C1006"/>
    <s v="P112 "/>
    <x v="1"/>
    <s v="Latha Menon"/>
    <n v="9"/>
    <n v="0.05"/>
    <s v="Pending"/>
    <x v="4"/>
    <x v="1"/>
    <s v="P112"/>
    <s v="Olive Oil"/>
    <s v="Grocery"/>
    <n v="980"/>
    <s v="Chennai"/>
    <n v="8379"/>
    <s v="Jun-2024"/>
    <s v="Small"/>
    <n v="0.02"/>
    <n v="167.58"/>
    <x v="0"/>
    <s v="Consumer"/>
  </r>
  <r>
    <s v="ORD2154"/>
    <d v="2024-03-09T00:00:00"/>
    <s v="C1014"/>
    <s v="P112"/>
    <x v="2"/>
    <s v="Kiran Shah"/>
    <n v="3"/>
    <n v="0"/>
    <s v="Paid"/>
    <x v="1"/>
    <x v="2"/>
    <s v="P112"/>
    <s v="Olive Oil"/>
    <s v="Grocery"/>
    <n v="980"/>
    <s v="Delhi"/>
    <n v="2940"/>
    <s v="Mar-2024"/>
    <s v="Small"/>
    <n v="0.02"/>
    <n v="58.800000000000004"/>
    <x v="0"/>
    <s v="Consumer"/>
  </r>
  <r>
    <s v="ORD2103"/>
    <d v="2024-04-08T00:00:00"/>
    <s v="C1021"/>
    <s v="P112"/>
    <x v="2"/>
    <s v="Amit Verma"/>
    <n v="7"/>
    <n v="0"/>
    <s v="Pending"/>
    <x v="3"/>
    <x v="2"/>
    <s v="P112"/>
    <s v="Olive Oil"/>
    <s v="Grocery"/>
    <n v="980"/>
    <s v="Chennai"/>
    <n v="6860"/>
    <s v="Apr-2024"/>
    <s v="Small"/>
    <n v="0.02"/>
    <n v="137.20000000000002"/>
    <x v="0"/>
    <s v="Corporate"/>
  </r>
  <r>
    <s v="ORD2186"/>
    <d v="2024-11-04T00:00:00"/>
    <s v="C1034"/>
    <s v="P112"/>
    <x v="4"/>
    <s v="Pooja Nair"/>
    <n v="6"/>
    <n v="0"/>
    <s v="Paid"/>
    <x v="2"/>
    <x v="0"/>
    <s v="P112"/>
    <s v="Olive Oil"/>
    <s v="Grocery"/>
    <n v="980"/>
    <s v="Chennai"/>
    <n v="5880"/>
    <s v="Nov-2024"/>
    <s v="Small"/>
    <n v="0.02"/>
    <n v="117.60000000000001"/>
    <x v="0"/>
    <s v="Consumer"/>
  </r>
  <r>
    <s v="ORD2008"/>
    <d v="2024-03-17T00:00:00"/>
    <s v="C1017"/>
    <s v="P112"/>
    <x v="3"/>
    <s v="Reena Joshi"/>
    <n v="2"/>
    <n v="0"/>
    <s v="Pending"/>
    <x v="7"/>
    <x v="3"/>
    <s v="P112"/>
    <s v="Olive Oil"/>
    <s v="Grocery"/>
    <n v="980"/>
    <s v="Pune"/>
    <n v="1960"/>
    <s v="Mar-2024"/>
    <s v="Small"/>
    <n v="0.02"/>
    <n v="39.200000000000003"/>
    <x v="0"/>
    <s v="Corporate"/>
  </r>
  <r>
    <s v="ORD2160"/>
    <d v="2024-11-07T00:00:00"/>
    <s v="C1033"/>
    <s v="P114"/>
    <x v="8"/>
    <s v="Manoj Das"/>
    <n v="2"/>
    <n v="0"/>
    <s v="Paid"/>
    <x v="0"/>
    <x v="0"/>
    <s v="P114"/>
    <s v="Almonds 1kg"/>
    <s v="Grocery"/>
    <n v="850"/>
    <s v="Delhi"/>
    <n v="1700"/>
    <s v="Nov-2024"/>
    <s v="Small"/>
    <n v="0.02"/>
    <n v="34"/>
    <x v="0"/>
    <s v="Consumer"/>
  </r>
  <r>
    <s v="ORD2047"/>
    <d v="2024-11-16T00:00:00"/>
    <s v="C1017"/>
    <s v="P114"/>
    <x v="4"/>
    <s v="Amit Verma"/>
    <n v="2"/>
    <n v="0.15"/>
    <s v="Pending"/>
    <x v="3"/>
    <x v="0"/>
    <s v="P114"/>
    <s v="Almonds 1kg"/>
    <s v="Grocery"/>
    <n v="850"/>
    <s v="Pune"/>
    <n v="1445"/>
    <s v="Nov-2024"/>
    <s v="Small"/>
    <n v="0.02"/>
    <n v="28.900000000000002"/>
    <x v="0"/>
    <s v="Corporate"/>
  </r>
  <r>
    <s v="ORD2076"/>
    <d v="2024-03-28T00:00:00"/>
    <s v="C1031"/>
    <s v="P114"/>
    <x v="3"/>
    <s v="Manoj Das"/>
    <n v="5"/>
    <n v="0"/>
    <s v="Paid"/>
    <x v="0"/>
    <x v="3"/>
    <s v="P114"/>
    <s v="Almonds 1kg"/>
    <s v="Grocery"/>
    <n v="850"/>
    <s v="Kolkata"/>
    <n v="4250"/>
    <s v="Mar-2024"/>
    <s v="Small"/>
    <n v="0.02"/>
    <n v="85"/>
    <x v="0"/>
    <s v="Corporate"/>
  </r>
  <r>
    <s v="ORD2191"/>
    <d v="2024-01-03T00:00:00"/>
    <s v="C1016"/>
    <s v="P114"/>
    <x v="2"/>
    <s v="Pooja Nair"/>
    <n v="10"/>
    <n v="0"/>
    <s v="Paid"/>
    <x v="2"/>
    <x v="2"/>
    <s v="P114"/>
    <s v="Almonds 1kg"/>
    <s v="Grocery"/>
    <n v="850"/>
    <s v="Chennai"/>
    <n v="8500"/>
    <s v="Jan-2024"/>
    <s v="Small"/>
    <n v="0.02"/>
    <n v="170"/>
    <x v="0"/>
    <s v="Home Office"/>
  </r>
  <r>
    <s v="ORD2197"/>
    <d v="2024-09-24T00:00:00"/>
    <s v="C1022"/>
    <s v="P114"/>
    <x v="2"/>
    <s v="Pooja Nair"/>
    <n v="3"/>
    <n v="0.05"/>
    <s v="Overdue"/>
    <x v="2"/>
    <x v="2"/>
    <s v="P114"/>
    <s v="Almonds 1kg"/>
    <s v="Grocery"/>
    <n v="850"/>
    <s v="Delhi"/>
    <n v="2422.5"/>
    <s v="Sep-2024"/>
    <s v="Small"/>
    <n v="0.02"/>
    <n v="48.45"/>
    <x v="0"/>
    <s v="Home Office"/>
  </r>
  <r>
    <s v="ORD2101"/>
    <d v="2024-02-11T00:00:00"/>
    <s v="C1023"/>
    <s v="P114"/>
    <x v="1"/>
    <s v="Pooja Nair"/>
    <n v="7"/>
    <n v="0"/>
    <s v="Paid"/>
    <x v="2"/>
    <x v="1"/>
    <s v="P114"/>
    <s v="Almonds 1kg"/>
    <s v="Grocery"/>
    <n v="850"/>
    <s v="Hyderabad"/>
    <n v="5950"/>
    <s v="Feb-2024"/>
    <s v="Small"/>
    <n v="0.02"/>
    <n v="119"/>
    <x v="0"/>
    <s v="Corporate"/>
  </r>
  <r>
    <s v="ORD2180"/>
    <d v="2024-07-21T00:00:00"/>
    <s v="C1006"/>
    <s v="P114"/>
    <x v="1"/>
    <s v="Latha Menon"/>
    <n v="4"/>
    <n v="0"/>
    <s v="Paid"/>
    <x v="4"/>
    <x v="1"/>
    <s v="P114"/>
    <s v="Almonds 1kg"/>
    <s v="Grocery"/>
    <n v="850"/>
    <s v="Chennai"/>
    <n v="3400"/>
    <s v="Jul-2024"/>
    <s v="Small"/>
    <n v="0.02"/>
    <n v="68"/>
    <x v="0"/>
    <s v="Consumer"/>
  </r>
  <r>
    <s v="ORD2151"/>
    <d v="2024-11-11T00:00:00"/>
    <s v="C1028"/>
    <s v="P114"/>
    <x v="3"/>
    <s v="Amit Verma"/>
    <n v="3"/>
    <n v="0.05"/>
    <s v="Paid"/>
    <x v="3"/>
    <x v="3"/>
    <s v="P114"/>
    <s v="Almonds 1kg"/>
    <s v="Grocery"/>
    <n v="850"/>
    <s v="Bengaluru"/>
    <n v="2422.5"/>
    <s v="Nov-2024"/>
    <s v="Small"/>
    <n v="0.02"/>
    <n v="48.45"/>
    <x v="0"/>
    <s v="Consumer"/>
  </r>
  <r>
    <s v="ORD2194"/>
    <d v="2024-01-11T00:00:00"/>
    <s v="C1040"/>
    <s v="P114"/>
    <x v="4"/>
    <s v="Latha Menon"/>
    <n v="1"/>
    <n v="0.05"/>
    <s v="Pending"/>
    <x v="4"/>
    <x v="0"/>
    <s v="P114"/>
    <s v="Almonds 1kg"/>
    <s v="Grocery"/>
    <n v="850"/>
    <s v="Kolkata"/>
    <n v="807.5"/>
    <s v="Jan-2024"/>
    <s v="Small"/>
    <n v="0.02"/>
    <n v="16.149999999999999"/>
    <x v="0"/>
    <s v="Corporate"/>
  </r>
  <r>
    <s v="ORD2124"/>
    <d v="2024-09-04T00:00:00"/>
    <s v="C1005"/>
    <s v="P114"/>
    <x v="1"/>
    <s v="Faisal Khan"/>
    <n v="9"/>
    <n v="0"/>
    <s v="Overdue"/>
    <x v="6"/>
    <x v="1"/>
    <s v="P114"/>
    <s v="Almonds 1kg"/>
    <s v="Grocery"/>
    <n v="850"/>
    <s v="Bengaluru"/>
    <n v="7650"/>
    <d v="2024-03-01T00:00:00"/>
    <s v="Small"/>
    <n v="0.02"/>
    <n v="153"/>
    <x v="0"/>
    <s v="Consumer"/>
  </r>
  <r>
    <s v="ORD2123"/>
    <d v="2024-04-04T00:00:00"/>
    <s v="C1040"/>
    <s v="P110"/>
    <x v="1"/>
    <s v="Pooja Nair"/>
    <n v="1"/>
    <n v="0.05"/>
    <s v="Overdue"/>
    <x v="2"/>
    <x v="1"/>
    <s v="P110"/>
    <s v="Coffee Beans"/>
    <s v="Grocery"/>
    <n v="650"/>
    <s v="Kolkata"/>
    <n v="617.5"/>
    <d v="2024-03-01T00:00:00"/>
    <s v="Small"/>
    <n v="0.02"/>
    <n v="12.35"/>
    <x v="0"/>
    <s v="Corporate"/>
  </r>
  <r>
    <s v="ORD2174"/>
    <d v="2024-09-14T00:00:00"/>
    <s v="C1031"/>
    <s v="P110"/>
    <x v="1"/>
    <s v="Faisal Khan"/>
    <n v="1"/>
    <n v="0.05"/>
    <s v="Overdue"/>
    <x v="6"/>
    <x v="1"/>
    <s v="P110"/>
    <s v="Coffee Beans"/>
    <s v="Grocery"/>
    <n v="650"/>
    <s v="Kolkata"/>
    <n v="617.5"/>
    <d v="2024-02-01T00:00:00"/>
    <s v="Small"/>
    <n v="0.02"/>
    <n v="12.35"/>
    <x v="0"/>
    <s v="Corporate"/>
  </r>
  <r>
    <s v="ORD2042"/>
    <d v="2024-04-02T00:00:00"/>
    <s v="C1013"/>
    <s v="P110"/>
    <x v="3"/>
    <s v="Pooja Nair"/>
    <n v="5"/>
    <n v="0"/>
    <s v="Overdue"/>
    <x v="2"/>
    <x v="3"/>
    <s v="P110"/>
    <s v="Coffee Beans"/>
    <s v="Grocery"/>
    <n v="650"/>
    <s v="Bengaluru"/>
    <n v="3250"/>
    <d v="2024-05-01T00:00:00"/>
    <s v="Small"/>
    <n v="0.02"/>
    <n v="65"/>
    <x v="0"/>
    <s v="Home Office"/>
  </r>
  <r>
    <s v="ORD2136"/>
    <d v="2024-08-21T00:00:00"/>
    <s v="C1036"/>
    <s v="P110"/>
    <x v="2"/>
    <s v="Manoj Das"/>
    <n v="10"/>
    <n v="0"/>
    <s v="Pending"/>
    <x v="0"/>
    <x v="2"/>
    <s v="P110"/>
    <s v="Coffee Beans"/>
    <s v="Grocery"/>
    <n v="650"/>
    <s v="Chennai"/>
    <n v="6500"/>
    <d v="2024-07-01T00:00:00"/>
    <s v="Small"/>
    <n v="0.02"/>
    <n v="130"/>
    <x v="0"/>
    <s v="Corporate"/>
  </r>
  <r>
    <s v="ORD2114"/>
    <d v="2024-10-02T00:00:00"/>
    <s v="C1008"/>
    <s v="P110"/>
    <x v="3"/>
    <s v="Manoj Das"/>
    <n v="10"/>
    <n v="0"/>
    <s v="Paid"/>
    <x v="0"/>
    <x v="3"/>
    <s v="P110"/>
    <s v="Coffee Beans"/>
    <s v="Grocery"/>
    <n v="650"/>
    <s v="Bengaluru"/>
    <n v="6500"/>
    <d v="2024-11-01T00:00:00"/>
    <s v="Small"/>
    <n v="0.02"/>
    <n v="130"/>
    <x v="0"/>
    <s v="Home Office"/>
  </r>
  <r>
    <s v="ORD2126"/>
    <d v="2024-08-01T00:00:00"/>
    <s v="C1004"/>
    <s v="P110"/>
    <x v="3"/>
    <s v="Faisal Khan"/>
    <n v="7"/>
    <n v="0"/>
    <s v="Paid"/>
    <x v="6"/>
    <x v="3"/>
    <s v="P110"/>
    <s v="Coffee Beans"/>
    <s v="Grocery"/>
    <n v="650"/>
    <s v="Bengaluru"/>
    <n v="4550"/>
    <d v="2024-11-01T00:00:00"/>
    <s v="Small"/>
    <n v="0.02"/>
    <n v="91"/>
    <x v="0"/>
    <s v="Consumer"/>
  </r>
  <r>
    <s v="ORD2077"/>
    <d v="2024-07-26T00:00:00"/>
    <s v="C1016"/>
    <s v="P110"/>
    <x v="2"/>
    <s v="Faisal Khan"/>
    <n v="2"/>
    <n v="0"/>
    <s v="Paid"/>
    <x v="6"/>
    <x v="2"/>
    <s v="P110"/>
    <s v="Coffee Beans"/>
    <s v="Grocery"/>
    <n v="650"/>
    <s v="Chennai"/>
    <n v="1300"/>
    <d v="2024-07-01T00:00:00"/>
    <s v="Small"/>
    <n v="0.02"/>
    <n v="26"/>
    <x v="0"/>
    <s v="Home Office"/>
  </r>
  <r>
    <s v="ORD2200"/>
    <d v="2024-02-25T00:00:00"/>
    <s v="C1015"/>
    <s v="P110"/>
    <x v="2"/>
    <s v="Pooja Nair"/>
    <n v="7"/>
    <n v="0.05"/>
    <s v="Paid"/>
    <x v="2"/>
    <x v="2"/>
    <s v="P110"/>
    <s v="Coffee Beans"/>
    <s v="Grocery"/>
    <n v="650"/>
    <s v="Hyderabad"/>
    <n v="4322.5"/>
    <d v="2024-12-01T00:00:00"/>
    <s v="Small"/>
    <n v="0.02"/>
    <n v="86.45"/>
    <x v="0"/>
    <s v="Consumer"/>
  </r>
  <r>
    <s v="ORD2182"/>
    <d v="2024-09-29T00:00:00"/>
    <s v="C1039"/>
    <s v="P120"/>
    <x v="1"/>
    <s v="Latha Menon"/>
    <n v="10"/>
    <n v="0"/>
    <s v="Overdue"/>
    <x v="4"/>
    <x v="1"/>
    <s v="P120"/>
    <s v="Printer Paper"/>
    <s v="Stationery"/>
    <n v="620"/>
    <s v="Delhi"/>
    <n v="6200"/>
    <d v="2024-09-01T00:00:00"/>
    <s v="Small"/>
    <n v="0.02"/>
    <n v="124"/>
    <x v="0"/>
    <s v="Home Office"/>
  </r>
  <r>
    <s v="ORD2062"/>
    <d v="2024-05-10T00:00:00"/>
    <s v="C1020"/>
    <s v="P120"/>
    <x v="4"/>
    <s v="Amit Verma"/>
    <n v="8"/>
    <n v="0"/>
    <s v="Pending"/>
    <x v="3"/>
    <x v="0"/>
    <s v="P120"/>
    <s v="Printer Paper"/>
    <s v="Stationery"/>
    <n v="620"/>
    <s v="Bengaluru"/>
    <n v="4960"/>
    <d v="2024-12-01T00:00:00"/>
    <s v="Small"/>
    <n v="0.02"/>
    <n v="99.2"/>
    <x v="0"/>
    <s v="Home Office"/>
  </r>
  <r>
    <s v="ORD2159"/>
    <d v="2024-02-23T00:00:00"/>
    <s v="C1001"/>
    <s v="P120"/>
    <x v="4"/>
    <s v="Kiran Shah"/>
    <n v="7"/>
    <n v="0"/>
    <s v="Overdue"/>
    <x v="1"/>
    <x v="0"/>
    <s v="P120"/>
    <s v="Printer Paper"/>
    <s v="Stationery"/>
    <n v="620"/>
    <s v="Chennai"/>
    <n v="4340"/>
    <d v="2024-02-01T00:00:00"/>
    <s v="Small"/>
    <n v="0.02"/>
    <n v="86.8"/>
    <x v="0"/>
    <s v="Home Office"/>
  </r>
  <r>
    <s v="ORD2185"/>
    <d v="2024-05-16T00:00:00"/>
    <s v="C1020"/>
    <s v="P120 "/>
    <x v="4"/>
    <s v="Kiran Shah"/>
    <n v="4"/>
    <n v="0.15"/>
    <s v="Paid"/>
    <x v="1"/>
    <x v="0"/>
    <s v="P120"/>
    <s v="Printer Paper"/>
    <s v="Stationery"/>
    <n v="620"/>
    <s v="Bengaluru"/>
    <n v="2108"/>
    <d v="2024-06-01T00:00:00"/>
    <s v="Small"/>
    <n v="0.02"/>
    <n v="42.160000000000004"/>
    <x v="0"/>
    <s v="Home Office"/>
  </r>
  <r>
    <s v="ORD2143"/>
    <d v="2024-02-03T00:00:00"/>
    <s v="C1023"/>
    <s v="P120"/>
    <x v="3"/>
    <s v="Kiran Shah"/>
    <n v="6"/>
    <n v="0.1"/>
    <s v="Paid"/>
    <x v="1"/>
    <x v="3"/>
    <s v="P120"/>
    <s v="Printer Paper"/>
    <s v="Stationery"/>
    <n v="620"/>
    <s v="Hyderabad"/>
    <n v="3348"/>
    <d v="2024-01-01T00:00:00"/>
    <s v="Small"/>
    <n v="0.02"/>
    <n v="66.960000000000008"/>
    <x v="0"/>
    <s v="Corporate"/>
  </r>
  <r>
    <s v="ORD2024"/>
    <d v="2024-08-13T00:00:00"/>
    <s v="C1012"/>
    <s v="P120"/>
    <x v="1"/>
    <s v="Kiran Shah"/>
    <n v="3"/>
    <n v="0"/>
    <s v="Pending"/>
    <x v="1"/>
    <x v="1"/>
    <s v="P120"/>
    <s v="Printer Paper"/>
    <s v="Stationery"/>
    <n v="620"/>
    <s v="Delhi"/>
    <n v="1860"/>
    <d v="2024-08-01T00:00:00"/>
    <s v="Small"/>
    <n v="0.02"/>
    <n v="37.200000000000003"/>
    <x v="0"/>
    <s v="Home Office"/>
  </r>
  <r>
    <s v="ORD2048"/>
    <d v="2024-09-16T00:00:00"/>
    <s v="C1019"/>
    <s v="P120"/>
    <x v="0"/>
    <s v="Manoj Das"/>
    <n v="1"/>
    <n v="0.05"/>
    <s v="Paid"/>
    <x v="0"/>
    <x v="0"/>
    <s v="P120"/>
    <s v="Printer Paper"/>
    <s v="Stationery"/>
    <n v="620"/>
    <s v="Pune"/>
    <n v="589"/>
    <d v="2024-11-01T00:00:00"/>
    <s v="Small"/>
    <n v="0.02"/>
    <n v="11.78"/>
    <x v="0"/>
    <s v="Consumer"/>
  </r>
  <r>
    <s v="ORD2122"/>
    <d v="2024-05-10T00:00:00"/>
    <s v="C1003"/>
    <s v="P120"/>
    <x v="4"/>
    <s v="Amit Verma"/>
    <n v="6"/>
    <n v="0.05"/>
    <s v="Paid"/>
    <x v="3"/>
    <x v="0"/>
    <s v="P120"/>
    <s v="Printer Paper"/>
    <s v="Stationery"/>
    <n v="620"/>
    <s v="Hyderabad"/>
    <n v="3534"/>
    <d v="2024-08-01T00:00:00"/>
    <s v="Small"/>
    <n v="0.02"/>
    <n v="70.680000000000007"/>
    <x v="0"/>
    <s v="Consumer"/>
  </r>
  <r>
    <s v="ORD2055"/>
    <d v="2024-03-17T00:00:00"/>
    <s v="C1019"/>
    <s v="P120"/>
    <x v="4"/>
    <s v=" Amit Verma  "/>
    <n v="9"/>
    <n v="0.15"/>
    <s v="Pending"/>
    <x v="3"/>
    <x v="0"/>
    <s v="P120"/>
    <s v="Printer Paper"/>
    <s v="Stationery"/>
    <n v="620"/>
    <s v="Pune"/>
    <n v="4743"/>
    <d v="2024-02-01T00:00:00"/>
    <s v="Small"/>
    <n v="0.02"/>
    <n v="94.86"/>
    <x v="0"/>
    <s v="Consumer"/>
  </r>
  <r>
    <s v="ORD2006"/>
    <d v="2024-02-26T00:00:00"/>
    <s v="C1022"/>
    <s v="P120"/>
    <x v="1"/>
    <s v="Sunita Rao"/>
    <n v="1"/>
    <n v="0.1"/>
    <s v="Paid"/>
    <x v="5"/>
    <x v="1"/>
    <s v="P120"/>
    <s v="Printer Paper"/>
    <s v="Stationery"/>
    <n v="620"/>
    <s v="Delhi"/>
    <n v="558"/>
    <d v="2024-04-01T00:00:00"/>
    <s v="Small"/>
    <n v="0.02"/>
    <n v="11.16"/>
    <x v="0"/>
    <s v="Home Office"/>
  </r>
  <r>
    <s v="ORD2116"/>
    <d v="2024-03-19T00:00:00"/>
    <s v="C1019"/>
    <s v="P119"/>
    <x v="4"/>
    <s v="Latha Menon"/>
    <n v="2"/>
    <n v="0.05"/>
    <s v="Paid"/>
    <x v="4"/>
    <x v="0"/>
    <s v="P119"/>
    <s v="Notebook Set"/>
    <s v="Stationery"/>
    <n v="450"/>
    <s v="Pune"/>
    <n v="855"/>
    <d v="2024-03-01T00:00:00"/>
    <s v="Small"/>
    <n v="0.02"/>
    <n v="17.100000000000001"/>
    <x v="0"/>
    <s v="Consumer"/>
  </r>
  <r>
    <s v="ORD2002"/>
    <d v="2024-01-07T00:00:00"/>
    <s v="C1032"/>
    <s v="P119"/>
    <x v="4"/>
    <s v="Manoj Das"/>
    <n v="5"/>
    <n v="0"/>
    <s v="Paid"/>
    <x v="0"/>
    <x v="0"/>
    <s v="P119"/>
    <s v="Notebook Set"/>
    <s v="Stationery"/>
    <n v="450"/>
    <s v="Kolkata"/>
    <n v="2250"/>
    <d v="2024-02-01T00:00:00"/>
    <s v="Small"/>
    <n v="0.02"/>
    <n v="45"/>
    <x v="0"/>
    <s v="Corporate"/>
  </r>
  <r>
    <s v="ORD2093"/>
    <d v="2024-09-09T00:00:00"/>
    <s v="C1003"/>
    <s v="P111"/>
    <x v="2"/>
    <s v="Latha Menon"/>
    <n v="7"/>
    <n v="0"/>
    <s v="Paid"/>
    <x v="4"/>
    <x v="2"/>
    <s v="P111"/>
    <s v="Green Tea"/>
    <s v="Grocery"/>
    <n v="420"/>
    <s v="Hyderabad"/>
    <n v="2940"/>
    <d v="2024-08-01T00:00:00"/>
    <s v="Small"/>
    <n v="0.02"/>
    <n v="58.800000000000004"/>
    <x v="0"/>
    <s v="Consumer"/>
  </r>
  <r>
    <s v="ORD2145"/>
    <d v="2024-09-16T00:00:00"/>
    <s v="C1016"/>
    <s v="P111"/>
    <x v="3"/>
    <s v="Amit Verma"/>
    <n v="4"/>
    <n v="0"/>
    <s v="Pending"/>
    <x v="3"/>
    <x v="3"/>
    <s v="P111"/>
    <s v="Green Tea"/>
    <s v="Grocery"/>
    <n v="420"/>
    <s v="Chennai"/>
    <n v="1680"/>
    <d v="2024-03-01T00:00:00"/>
    <s v="Small"/>
    <n v="0.02"/>
    <n v="33.6"/>
    <x v="0"/>
    <s v="Home Office"/>
  </r>
  <r>
    <s v="ORD2080"/>
    <d v="2024-10-11T00:00:00"/>
    <s v="C1006"/>
    <s v="P111"/>
    <x v="4"/>
    <s v="Latha Menon"/>
    <n v="5"/>
    <n v="0.1"/>
    <s v="Paid"/>
    <x v="4"/>
    <x v="0"/>
    <s v="P111"/>
    <s v="Green Tea"/>
    <s v="Grocery"/>
    <n v="420"/>
    <s v="Chennai"/>
    <n v="1890"/>
    <d v="2024-03-01T00:00:00"/>
    <s v="Small"/>
    <n v="0.02"/>
    <n v="37.800000000000004"/>
    <x v="0"/>
    <s v="Consumer"/>
  </r>
  <r>
    <s v="ORD2105"/>
    <d v="2024-02-02T00:00:00"/>
    <s v="C1039"/>
    <s v="P111"/>
    <x v="3"/>
    <s v="Manoj Das"/>
    <n v="6"/>
    <n v="0.1"/>
    <s v="Paid"/>
    <x v="0"/>
    <x v="3"/>
    <s v="P111"/>
    <s v="Green Tea"/>
    <s v="Grocery"/>
    <n v="420"/>
    <s v="Delhi"/>
    <n v="2268"/>
    <d v="2024-08-01T00:00:00"/>
    <s v="Small"/>
    <n v="0.02"/>
    <n v="45.36"/>
    <x v="0"/>
    <s v="Home Office"/>
  </r>
  <r>
    <s v="ORD2132"/>
    <d v="2024-01-23T00:00:00"/>
    <s v="C1031"/>
    <s v="P111"/>
    <x v="1"/>
    <s v="Faisal Khan"/>
    <n v="2"/>
    <n v="0.15"/>
    <s v="Overdue"/>
    <x v="6"/>
    <x v="1"/>
    <s v="P111"/>
    <s v="Green Tea"/>
    <s v="Grocery"/>
    <n v="420"/>
    <s v="Kolkata"/>
    <n v="714"/>
    <d v="2024-01-01T00:00:00"/>
    <s v="Small"/>
    <n v="0.02"/>
    <n v="14.280000000000001"/>
    <x v="0"/>
    <s v="Corporate"/>
  </r>
  <r>
    <s v="ORD2090"/>
    <d v="2024-08-23T00:00:00"/>
    <s v="C1018"/>
    <s v="P111"/>
    <x v="4"/>
    <s v="Reena Joshi"/>
    <n v="9"/>
    <n v="0"/>
    <s v="Overdue"/>
    <x v="7"/>
    <x v="0"/>
    <s v="P111"/>
    <s v="Green Tea"/>
    <s v="Grocery"/>
    <n v="420"/>
    <s v="Chennai"/>
    <n v="3780"/>
    <d v="2024-04-01T00:00:00"/>
    <s v="Small"/>
    <n v="0.02"/>
    <n v="75.600000000000009"/>
    <x v="0"/>
    <s v="Corporate"/>
  </r>
  <r>
    <s v="ORD2150"/>
    <d v="2024-11-23T00:00:00"/>
    <s v="C1038"/>
    <s v="P111"/>
    <x v="1"/>
    <s v="Amit Verma"/>
    <n v="4"/>
    <n v="0"/>
    <s v="Paid"/>
    <x v="3"/>
    <x v="1"/>
    <s v="P111"/>
    <s v="Green Tea"/>
    <s v="Grocery"/>
    <n v="420"/>
    <s v="Mumbai"/>
    <n v="1680"/>
    <d v="2024-09-01T00:00:00"/>
    <s v="Small"/>
    <n v="0.02"/>
    <n v="33.6"/>
    <x v="0"/>
    <s v="Corporate"/>
  </r>
  <r>
    <s v="ORD2146"/>
    <d v="2024-03-23T00:00:00"/>
    <s v="C1018"/>
    <s v="P111"/>
    <x v="2"/>
    <s v="Kiran Shah"/>
    <n v="5"/>
    <n v="0"/>
    <s v="Overdue"/>
    <x v="1"/>
    <x v="2"/>
    <s v="P111"/>
    <s v="Green Tea"/>
    <s v="Grocery"/>
    <n v="420"/>
    <s v="Chennai"/>
    <n v="2100"/>
    <d v="2024-01-01T00:00:00"/>
    <s v="Small"/>
    <n v="0.02"/>
    <n v="42"/>
    <x v="0"/>
    <s v="Corporate"/>
  </r>
  <r>
    <s v="ORD2109"/>
    <d v="2024-11-06T00:00:00"/>
    <s v="C1016"/>
    <s v="P111"/>
    <x v="3"/>
    <s v="Reena Joshi"/>
    <n v="6"/>
    <n v="0.1"/>
    <s v="Paid"/>
    <x v="7"/>
    <x v="3"/>
    <s v="P111"/>
    <s v="Green Tea"/>
    <s v="Grocery"/>
    <n v="420"/>
    <s v="Chennai"/>
    <n v="2268"/>
    <d v="2024-03-01T00:00:00"/>
    <s v="Small"/>
    <n v="0.02"/>
    <n v="45.36"/>
    <x v="0"/>
    <s v="Home Office"/>
  </r>
  <r>
    <s v="ORD2164"/>
    <d v="2024-11-24T00:00:00"/>
    <s v="C1014"/>
    <s v="P999"/>
    <x v="5"/>
    <s v="Kiran Shah"/>
    <n v="5"/>
    <n v="0"/>
    <s v="Paid"/>
    <x v="1"/>
    <x v="1"/>
    <s v="P999"/>
    <s v="Unknown Product"/>
    <s v="Unknown "/>
    <n v="0"/>
    <s v="Delhi"/>
    <n v="0"/>
    <d v="2024-12-01T00:00:00"/>
    <s v="Small"/>
    <n v="0.02"/>
    <n v="0"/>
    <x v="0"/>
    <s v="Consumer"/>
  </r>
  <r>
    <s v="ORD2058"/>
    <d v="2024-11-16T00:00:00"/>
    <s v="C1035"/>
    <s v="P999"/>
    <x v="2"/>
    <s v="Manoj Das"/>
    <n v="1"/>
    <n v="0.05"/>
    <s v="Paid"/>
    <x v="0"/>
    <x v="2"/>
    <s v="P999"/>
    <s v="Unknown Product"/>
    <s v="Unknown "/>
    <n v="0"/>
    <s v="Mumbai"/>
    <n v="0"/>
    <d v="2024-06-01T00:00:00"/>
    <s v="Small"/>
    <n v="0.02"/>
    <n v="0"/>
    <x v="0"/>
    <s v="Home Office"/>
  </r>
  <r>
    <s v="ORD2171"/>
    <d v="2024-04-14T00:00:00"/>
    <s v="C1008"/>
    <s v="P999"/>
    <x v="1"/>
    <s v="Sunita Rao"/>
    <n v="5"/>
    <n v="0"/>
    <s v="Paid"/>
    <x v="5"/>
    <x v="1"/>
    <s v="P999"/>
    <s v="Unknown Product"/>
    <s v="Unknown "/>
    <n v="0"/>
    <s v="Bengaluru"/>
    <n v="0"/>
    <d v="2024-09-01T00:00:00"/>
    <s v="Small"/>
    <n v="0.02"/>
    <n v="0"/>
    <x v="0"/>
    <s v="Home Office"/>
  </r>
  <r>
    <s v="ORD2106"/>
    <d v="2024-05-14T00:00:00"/>
    <s v="C1021"/>
    <s v="P998"/>
    <x v="3"/>
    <s v="Amit Verma"/>
    <n v="10"/>
    <n v="0.15"/>
    <s v="Paid"/>
    <x v="3"/>
    <x v="3"/>
    <s v="P998"/>
    <s v="Unknown Product"/>
    <s v="Unknown "/>
    <n v="0"/>
    <s v="Chennai"/>
    <n v="0"/>
    <d v="2024-12-01T00:00:00"/>
    <s v="Small"/>
    <n v="0.02"/>
    <n v="0"/>
    <x v="0"/>
    <s v="Corporate"/>
  </r>
  <r>
    <s v="ORD2038"/>
    <d v="2024-09-10T00:00:00"/>
    <s v="C1021"/>
    <s v="P999"/>
    <x v="3"/>
    <s v="Amit Verma"/>
    <n v="3"/>
    <n v="0.05"/>
    <s v="Paid"/>
    <x v="3"/>
    <x v="3"/>
    <s v="P999"/>
    <s v="Unknown Product"/>
    <s v="Unknown "/>
    <n v="0"/>
    <s v="Chennai"/>
    <n v="0"/>
    <d v="2024-08-01T00:00:00"/>
    <s v="Small"/>
    <n v="0.02"/>
    <n v="0"/>
    <x v="0"/>
    <s v="Corporate"/>
  </r>
  <r>
    <s v="ORD2091"/>
    <d v="2024-05-06T00:00:00"/>
    <s v="C1002"/>
    <s v="P998"/>
    <x v="3"/>
    <s v="Amit Verma"/>
    <n v="1"/>
    <n v="0"/>
    <s v="Pending"/>
    <x v="3"/>
    <x v="3"/>
    <s v="P998"/>
    <s v="Unknown Product"/>
    <s v="Unknown "/>
    <n v="0"/>
    <s v="Pune"/>
    <n v="0"/>
    <d v="2024-11-01T00:00:00"/>
    <s v="Small"/>
    <n v="0.02"/>
    <n v="0"/>
    <x v="0"/>
    <s v="Home Offic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1140C3-BE6E-4355-A879-5C583243BFAB}" name="PivotTable1" cacheId="66"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4">
  <location ref="A3:B5" firstHeaderRow="1" firstDataRow="1" firstDataCol="1"/>
  <pivotFields count="23">
    <pivotField compact="0" showAll="0"/>
    <pivotField compact="0" numFmtId="164" showAll="0"/>
    <pivotField compact="0" showAll="0"/>
    <pivotField compact="0" showAll="0"/>
    <pivotField compact="0" showAll="0">
      <items count="10">
        <item h="1" x="5"/>
        <item h="1" x="0"/>
        <item h="1" x="7"/>
        <item h="1" x="3"/>
        <item x="1"/>
        <item h="1" x="4"/>
        <item h="1" x="8"/>
        <item h="1" x="2"/>
        <item h="1" x="6"/>
        <item t="default"/>
      </items>
    </pivotField>
    <pivotField compact="0" showAll="0"/>
    <pivotField compact="0" showAll="0"/>
    <pivotField compact="0" numFmtId="9" showAll="0"/>
    <pivotField compact="0" showAll="0"/>
    <pivotField compact="0" showAll="0"/>
    <pivotField axis="axisRow" compact="0" showAll="0">
      <items count="5">
        <item h="1" x="3"/>
        <item x="1"/>
        <item h="1" x="0"/>
        <item h="1" x="2"/>
        <item t="default"/>
      </items>
    </pivotField>
    <pivotField compact="0" showAll="0"/>
    <pivotField compact="0" showAll="0"/>
    <pivotField compact="0" showAll="0"/>
    <pivotField compact="0" showAll="0"/>
    <pivotField compact="0" showAll="0"/>
    <pivotField dataField="1" compact="0" showAll="0"/>
    <pivotField compact="0" showAll="0"/>
    <pivotField compact="0" showAll="0"/>
    <pivotField compact="0" showAll="0"/>
    <pivotField compact="0" showAll="0"/>
    <pivotField compact="0" showAll="0"/>
    <pivotField compact="0" showAll="0"/>
  </pivotFields>
  <rowFields count="1">
    <field x="10"/>
  </rowFields>
  <rowItems count="2">
    <i>
      <x v="1"/>
    </i>
    <i t="grand">
      <x/>
    </i>
  </rowItems>
  <colItems count="1">
    <i/>
  </colItems>
  <dataFields count="1">
    <dataField name="Total Revenue" fld="16" baseField="0" baseItem="0" numFmtId="165"/>
  </dataFields>
  <formats count="1">
    <format dxfId="1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8E78B7-D4B3-4BF0-8DAB-D05F60A3282C}" name="PivotTable1" cacheId="66"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5">
  <location ref="A3:B9" firstHeaderRow="1" firstDataRow="1" firstDataCol="1"/>
  <pivotFields count="23">
    <pivotField compact="0" showAll="0"/>
    <pivotField compact="0" numFmtId="164" showAll="0"/>
    <pivotField compact="0" showAll="0"/>
    <pivotField compact="0" showAll="0"/>
    <pivotField compact="0" showAll="0">
      <items count="10">
        <item h="1" x="5"/>
        <item h="1" x="0"/>
        <item h="1" x="7"/>
        <item h="1" x="3"/>
        <item x="1"/>
        <item h="1" x="4"/>
        <item h="1" x="8"/>
        <item h="1" x="2"/>
        <item h="1" x="6"/>
        <item t="default"/>
      </items>
    </pivotField>
    <pivotField compact="0" showAll="0"/>
    <pivotField compact="0" showAll="0"/>
    <pivotField compact="0" numFmtId="9" showAll="0"/>
    <pivotField compact="0" showAll="0"/>
    <pivotField axis="axisRow" compact="0" showAll="0" measureFilter="1" sortType="descending">
      <items count="9">
        <item x="5"/>
        <item x="7"/>
        <item x="2"/>
        <item x="0"/>
        <item x="4"/>
        <item x="1"/>
        <item x="6"/>
        <item x="3"/>
        <item t="default"/>
      </items>
      <autoSortScope>
        <pivotArea dataOnly="0" outline="0" fieldPosition="0">
          <references count="1">
            <reference field="4294967294" count="1" selected="0">
              <x v="0"/>
            </reference>
          </references>
        </pivotArea>
      </autoSortScope>
    </pivotField>
    <pivotField compact="0" showAll="0">
      <items count="5">
        <item h="1" x="3"/>
        <item x="1"/>
        <item h="1" x="0"/>
        <item h="1" x="2"/>
        <item t="default"/>
      </items>
    </pivotField>
    <pivotField compact="0" showAll="0"/>
    <pivotField compact="0" showAll="0"/>
    <pivotField compact="0" showAll="0"/>
    <pivotField compact="0" showAll="0"/>
    <pivotField compact="0" showAll="0"/>
    <pivotField dataField="1" compact="0" showAll="0"/>
    <pivotField compact="0" showAll="0"/>
    <pivotField compact="0" showAll="0"/>
    <pivotField compact="0" showAll="0"/>
    <pivotField compact="0" showAll="0"/>
    <pivotField compact="0" showAll="0"/>
    <pivotField compact="0" showAll="0"/>
  </pivotFields>
  <rowFields count="1">
    <field x="9"/>
  </rowFields>
  <rowItems count="6">
    <i>
      <x v="4"/>
    </i>
    <i>
      <x v="5"/>
    </i>
    <i>
      <x/>
    </i>
    <i>
      <x v="7"/>
    </i>
    <i>
      <x v="3"/>
    </i>
    <i t="grand">
      <x/>
    </i>
  </rowItems>
  <colItems count="1">
    <i/>
  </colItems>
  <dataFields count="1">
    <dataField name="Sum of Revenue" fld="16" baseField="0" baseItem="0"/>
  </dataFields>
  <formats count="1">
    <format dxfId="16">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FD4905-01BC-4152-A577-E10E91B501D0}" name="PivotTable2" cacheId="75" applyNumberFormats="0" applyBorderFormats="0" applyFontFormats="0" applyPatternFormats="0" applyAlignmentFormats="0" applyWidthHeightFormats="1" dataCaption="Values" missingCaption="0" updatedVersion="8" minRefreshableVersion="3" useAutoFormatting="1" itemPrintTitles="1" createdVersion="8" indent="0" showHeaders="0" outline="1" outlineData="1" multipleFieldFilters="0" chartFormat="14">
  <location ref="A3:C10" firstHeaderRow="1" firstDataRow="2" firstDataCol="1"/>
  <pivotFields count="4">
    <pivotField axis="axisCol" allDrilled="1" subtotalTop="0" showAll="0" dataSourceSort="1" defaultSubtotal="0" defaultAttributeDrillState="1">
      <items count="5">
        <item s="1" x="0"/>
        <item s="1" x="1"/>
        <item s="1" x="2"/>
        <item s="1" x="3"/>
        <item s="1" x="4"/>
      </items>
    </pivotField>
    <pivotField axis="axisRow" allDrilled="1" subtotalTop="0" showAll="0" defaultSubtotal="0" defaultAttributeDrillState="1">
      <items count="12">
        <item s="1" x="2"/>
        <item s="1" x="3"/>
        <item s="1" x="5"/>
        <item s="1" x="9"/>
        <item s="1" x="6"/>
        <item s="1" x="8"/>
        <item s="1" x="0"/>
        <item s="1" x="10"/>
        <item s="1" x="4"/>
        <item s="1" x="7"/>
        <item s="1" x="1"/>
        <item x="11"/>
      </items>
    </pivotField>
    <pivotField dataField="1" subtotalTop="0" showAll="0" defaultSubtotal="0"/>
    <pivotField allDrilled="1" subtotalTop="0" showAll="0" dataSourceSort="1" defaultSubtotal="0" defaultAttributeDrillState="1"/>
  </pivotFields>
  <rowFields count="1">
    <field x="1"/>
  </rowFields>
  <rowItems count="6">
    <i>
      <x/>
    </i>
    <i>
      <x v="1"/>
    </i>
    <i>
      <x v="6"/>
    </i>
    <i>
      <x v="8"/>
    </i>
    <i>
      <x v="10"/>
    </i>
    <i t="grand">
      <x/>
    </i>
  </rowItems>
  <colFields count="1">
    <field x="0"/>
  </colFields>
  <colItems count="2">
    <i>
      <x/>
    </i>
    <i t="grand">
      <x/>
    </i>
  </colItems>
  <dataFields count="1">
    <dataField name="Sum of Revenue" fld="2" baseField="0" baseItem="0"/>
  </dataFields>
  <chartFormats count="57">
    <chartFormat chart="0" format="0" series="1">
      <pivotArea type="data" outline="0" fieldPosition="0">
        <references count="2">
          <reference field="4294967294" count="1" selected="0">
            <x v="0"/>
          </reference>
          <reference field="1" count="1" selected="0">
            <x v="2"/>
          </reference>
        </references>
      </pivotArea>
    </chartFormat>
    <chartFormat chart="0" format="1" series="1">
      <pivotArea type="data" outline="0" fieldPosition="0">
        <references count="2">
          <reference field="4294967294" count="1" selected="0">
            <x v="0"/>
          </reference>
          <reference field="1" count="1" selected="0">
            <x v="6"/>
          </reference>
        </references>
      </pivotArea>
    </chartFormat>
    <chartFormat chart="0" format="2" series="1">
      <pivotArea type="data" outline="0" fieldPosition="0">
        <references count="2">
          <reference field="4294967294" count="1" selected="0">
            <x v="0"/>
          </reference>
          <reference field="1" count="1" selected="0">
            <x v="10"/>
          </reference>
        </references>
      </pivotArea>
    </chartFormat>
    <chartFormat chart="0" format="3" series="1">
      <pivotArea type="data" outline="0" fieldPosition="0">
        <references count="2">
          <reference field="4294967294" count="1" selected="0">
            <x v="0"/>
          </reference>
          <reference field="1" count="1" selected="0">
            <x v="0"/>
          </reference>
        </references>
      </pivotArea>
    </chartFormat>
    <chartFormat chart="0" format="4" series="1">
      <pivotArea type="data" outline="0" fieldPosition="0">
        <references count="2">
          <reference field="4294967294" count="1" selected="0">
            <x v="0"/>
          </reference>
          <reference field="1" count="1" selected="0">
            <x v="11"/>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2">
          <reference field="4294967294" count="1" selected="0">
            <x v="0"/>
          </reference>
          <reference field="1" count="1" selected="0">
            <x v="4"/>
          </reference>
        </references>
      </pivotArea>
    </chartFormat>
    <chartFormat chart="0" format="7" series="1">
      <pivotArea type="data" outline="0" fieldPosition="0">
        <references count="2">
          <reference field="4294967294" count="1" selected="0">
            <x v="0"/>
          </reference>
          <reference field="1" count="1" selected="0">
            <x v="1"/>
          </reference>
        </references>
      </pivotArea>
    </chartFormat>
    <chartFormat chart="0" format="8" series="1">
      <pivotArea type="data" outline="0" fieldPosition="0">
        <references count="2">
          <reference field="4294967294" count="1" selected="0">
            <x v="0"/>
          </reference>
          <reference field="1" count="1" selected="0">
            <x v="3"/>
          </reference>
        </references>
      </pivotArea>
    </chartFormat>
    <chartFormat chart="0" format="9" series="1">
      <pivotArea type="data" outline="0" fieldPosition="0">
        <references count="2">
          <reference field="4294967294" count="1" selected="0">
            <x v="0"/>
          </reference>
          <reference field="1" count="1" selected="0">
            <x v="9"/>
          </reference>
        </references>
      </pivotArea>
    </chartFormat>
    <chartFormat chart="0" format="10" series="1">
      <pivotArea type="data" outline="0" fieldPosition="0">
        <references count="2">
          <reference field="4294967294" count="1" selected="0">
            <x v="0"/>
          </reference>
          <reference field="1" count="1" selected="0">
            <x v="8"/>
          </reference>
        </references>
      </pivotArea>
    </chartFormat>
    <chartFormat chart="0" format="11" series="1">
      <pivotArea type="data" outline="0" fieldPosition="0">
        <references count="2">
          <reference field="4294967294" count="1" selected="0">
            <x v="0"/>
          </reference>
          <reference field="1" count="1" selected="0">
            <x v="7"/>
          </reference>
        </references>
      </pivotArea>
    </chartFormat>
    <chartFormat chart="0" format="12" series="1">
      <pivotArea type="data" outline="0" fieldPosition="0">
        <references count="3">
          <reference field="4294967294" count="1" selected="0">
            <x v="0"/>
          </reference>
          <reference field="0" count="1" selected="0">
            <x v="2"/>
          </reference>
          <reference field="1" count="1" selected="0">
            <x v="10"/>
          </reference>
        </references>
      </pivotArea>
    </chartFormat>
    <chartFormat chart="0" format="13" series="1">
      <pivotArea type="data" outline="0" fieldPosition="0">
        <references count="3">
          <reference field="4294967294" count="1" selected="0">
            <x v="0"/>
          </reference>
          <reference field="0" count="1" selected="0">
            <x v="1"/>
          </reference>
          <reference field="1" count="1" selected="0">
            <x v="10"/>
          </reference>
        </references>
      </pivotArea>
    </chartFormat>
    <chartFormat chart="0" format="14" series="1">
      <pivotArea type="data" outline="0" fieldPosition="0">
        <references count="3">
          <reference field="4294967294" count="1" selected="0">
            <x v="0"/>
          </reference>
          <reference field="0" count="1" selected="0">
            <x v="4"/>
          </reference>
          <reference field="1" count="1" selected="0">
            <x v="0"/>
          </reference>
        </references>
      </pivotArea>
    </chartFormat>
    <chartFormat chart="0" format="15" series="1">
      <pivotArea type="data" outline="0" fieldPosition="0">
        <references count="3">
          <reference field="4294967294" count="1" selected="0">
            <x v="0"/>
          </reference>
          <reference field="0" count="1" selected="0">
            <x v="0"/>
          </reference>
          <reference field="1" count="1" selected="0">
            <x v="0"/>
          </reference>
        </references>
      </pivotArea>
    </chartFormat>
    <chartFormat chart="0" format="16" series="1">
      <pivotArea type="data" outline="0" fieldPosition="0">
        <references count="3">
          <reference field="4294967294" count="1" selected="0">
            <x v="0"/>
          </reference>
          <reference field="0" count="1" selected="0">
            <x v="2"/>
          </reference>
          <reference field="1" count="1" selected="0">
            <x v="0"/>
          </reference>
        </references>
      </pivotArea>
    </chartFormat>
    <chartFormat chart="0" format="17" series="1">
      <pivotArea type="data" outline="0" fieldPosition="0">
        <references count="3">
          <reference field="4294967294" count="1" selected="0">
            <x v="0"/>
          </reference>
          <reference field="0" count="1" selected="0">
            <x v="1"/>
          </reference>
          <reference field="1" count="1" selected="0">
            <x v="0"/>
          </reference>
        </references>
      </pivotArea>
    </chartFormat>
    <chartFormat chart="0" format="18" series="1">
      <pivotArea type="data" outline="0" fieldPosition="0">
        <references count="3">
          <reference field="4294967294" count="1" selected="0">
            <x v="0"/>
          </reference>
          <reference field="0" count="1" selected="0">
            <x v="3"/>
          </reference>
          <reference field="1" count="1" selected="0">
            <x v="0"/>
          </reference>
        </references>
      </pivotArea>
    </chartFormat>
    <chartFormat chart="0" format="19" series="1">
      <pivotArea type="data" outline="0" fieldPosition="0">
        <references count="3">
          <reference field="4294967294" count="1" selected="0">
            <x v="0"/>
          </reference>
          <reference field="0" count="1" selected="0">
            <x v="4"/>
          </reference>
          <reference field="1" count="1" selected="0">
            <x v="5"/>
          </reference>
        </references>
      </pivotArea>
    </chartFormat>
    <chartFormat chart="0" format="20" series="1">
      <pivotArea type="data" outline="0" fieldPosition="0">
        <references count="3">
          <reference field="4294967294" count="1" selected="0">
            <x v="0"/>
          </reference>
          <reference field="0" count="1" selected="0">
            <x v="0"/>
          </reference>
          <reference field="1" count="1" selected="0">
            <x v="5"/>
          </reference>
        </references>
      </pivotArea>
    </chartFormat>
    <chartFormat chart="0" format="21" series="1">
      <pivotArea type="data" outline="0" fieldPosition="0">
        <references count="3">
          <reference field="4294967294" count="1" selected="0">
            <x v="0"/>
          </reference>
          <reference field="0" count="1" selected="0">
            <x v="2"/>
          </reference>
          <reference field="1" count="1" selected="0">
            <x v="5"/>
          </reference>
        </references>
      </pivotArea>
    </chartFormat>
    <chartFormat chart="0" format="22" series="1">
      <pivotArea type="data" outline="0" fieldPosition="0">
        <references count="3">
          <reference field="4294967294" count="1" selected="0">
            <x v="0"/>
          </reference>
          <reference field="0" count="1" selected="0">
            <x v="1"/>
          </reference>
          <reference field="1" count="1" selected="0">
            <x v="5"/>
          </reference>
        </references>
      </pivotArea>
    </chartFormat>
    <chartFormat chart="0" format="23" series="1">
      <pivotArea type="data" outline="0" fieldPosition="0">
        <references count="3">
          <reference field="4294967294" count="1" selected="0">
            <x v="0"/>
          </reference>
          <reference field="0" count="1" selected="0">
            <x v="0"/>
          </reference>
          <reference field="1" count="1" selected="0">
            <x v="4"/>
          </reference>
        </references>
      </pivotArea>
    </chartFormat>
    <chartFormat chart="0" format="24" series="1">
      <pivotArea type="data" outline="0" fieldPosition="0">
        <references count="3">
          <reference field="4294967294" count="1" selected="0">
            <x v="0"/>
          </reference>
          <reference field="0" count="1" selected="0">
            <x v="2"/>
          </reference>
          <reference field="1" count="1" selected="0">
            <x v="4"/>
          </reference>
        </references>
      </pivotArea>
    </chartFormat>
    <chartFormat chart="0" format="25" series="1">
      <pivotArea type="data" outline="0" fieldPosition="0">
        <references count="3">
          <reference field="4294967294" count="1" selected="0">
            <x v="0"/>
          </reference>
          <reference field="0" count="1" selected="0">
            <x v="1"/>
          </reference>
          <reference field="1" count="1" selected="0">
            <x v="4"/>
          </reference>
        </references>
      </pivotArea>
    </chartFormat>
    <chartFormat chart="0" format="26" series="1">
      <pivotArea type="data" outline="0" fieldPosition="0">
        <references count="3">
          <reference field="4294967294" count="1" selected="0">
            <x v="0"/>
          </reference>
          <reference field="0" count="1" selected="0">
            <x v="4"/>
          </reference>
          <reference field="1" count="1" selected="0">
            <x v="1"/>
          </reference>
        </references>
      </pivotArea>
    </chartFormat>
    <chartFormat chart="0" format="27" series="1">
      <pivotArea type="data" outline="0" fieldPosition="0">
        <references count="3">
          <reference field="4294967294" count="1" selected="0">
            <x v="0"/>
          </reference>
          <reference field="0" count="1" selected="0">
            <x v="0"/>
          </reference>
          <reference field="1" count="1" selected="0">
            <x v="1"/>
          </reference>
        </references>
      </pivotArea>
    </chartFormat>
    <chartFormat chart="0" format="28" series="1">
      <pivotArea type="data" outline="0" fieldPosition="0">
        <references count="3">
          <reference field="4294967294" count="1" selected="0">
            <x v="0"/>
          </reference>
          <reference field="0" count="1" selected="0">
            <x v="2"/>
          </reference>
          <reference field="1" count="1" selected="0">
            <x v="1"/>
          </reference>
        </references>
      </pivotArea>
    </chartFormat>
    <chartFormat chart="0" format="29" series="1">
      <pivotArea type="data" outline="0" fieldPosition="0">
        <references count="3">
          <reference field="4294967294" count="1" selected="0">
            <x v="0"/>
          </reference>
          <reference field="0" count="1" selected="0">
            <x v="1"/>
          </reference>
          <reference field="1" count="1" selected="0">
            <x v="1"/>
          </reference>
        </references>
      </pivotArea>
    </chartFormat>
    <chartFormat chart="0" format="30" series="1">
      <pivotArea type="data" outline="0" fieldPosition="0">
        <references count="3">
          <reference field="4294967294" count="1" selected="0">
            <x v="0"/>
          </reference>
          <reference field="0" count="1" selected="0">
            <x v="3"/>
          </reference>
          <reference field="1" count="1" selected="0">
            <x v="1"/>
          </reference>
        </references>
      </pivotArea>
    </chartFormat>
    <chartFormat chart="0" format="31" series="1">
      <pivotArea type="data" outline="0" fieldPosition="0">
        <references count="3">
          <reference field="4294967294" count="1" selected="0">
            <x v="0"/>
          </reference>
          <reference field="0" count="1" selected="0">
            <x v="4"/>
          </reference>
          <reference field="1" count="1" selected="0">
            <x v="3"/>
          </reference>
        </references>
      </pivotArea>
    </chartFormat>
    <chartFormat chart="0" format="32" series="1">
      <pivotArea type="data" outline="0" fieldPosition="0">
        <references count="3">
          <reference field="4294967294" count="1" selected="0">
            <x v="0"/>
          </reference>
          <reference field="0" count="1" selected="0">
            <x v="0"/>
          </reference>
          <reference field="1" count="1" selected="0">
            <x v="3"/>
          </reference>
        </references>
      </pivotArea>
    </chartFormat>
    <chartFormat chart="0" format="33" series="1">
      <pivotArea type="data" outline="0" fieldPosition="0">
        <references count="3">
          <reference field="4294967294" count="1" selected="0">
            <x v="0"/>
          </reference>
          <reference field="0" count="1" selected="0">
            <x v="2"/>
          </reference>
          <reference field="1" count="1" selected="0">
            <x v="3"/>
          </reference>
        </references>
      </pivotArea>
    </chartFormat>
    <chartFormat chart="0" format="34" series="1">
      <pivotArea type="data" outline="0" fieldPosition="0">
        <references count="3">
          <reference field="4294967294" count="1" selected="0">
            <x v="0"/>
          </reference>
          <reference field="0" count="1" selected="0">
            <x v="3"/>
          </reference>
          <reference field="1" count="1" selected="0">
            <x v="3"/>
          </reference>
        </references>
      </pivotArea>
    </chartFormat>
    <chartFormat chart="0" format="35" series="1">
      <pivotArea type="data" outline="0" fieldPosition="0">
        <references count="3">
          <reference field="4294967294" count="1" selected="0">
            <x v="0"/>
          </reference>
          <reference field="0" count="1" selected="0">
            <x v="4"/>
          </reference>
          <reference field="1" count="1" selected="0">
            <x v="9"/>
          </reference>
        </references>
      </pivotArea>
    </chartFormat>
    <chartFormat chart="0" format="36" series="1">
      <pivotArea type="data" outline="0" fieldPosition="0">
        <references count="3">
          <reference field="4294967294" count="1" selected="0">
            <x v="0"/>
          </reference>
          <reference field="0" count="1" selected="0">
            <x v="0"/>
          </reference>
          <reference field="1" count="1" selected="0">
            <x v="9"/>
          </reference>
        </references>
      </pivotArea>
    </chartFormat>
    <chartFormat chart="0" format="37" series="1">
      <pivotArea type="data" outline="0" fieldPosition="0">
        <references count="3">
          <reference field="4294967294" count="1" selected="0">
            <x v="0"/>
          </reference>
          <reference field="0" count="1" selected="0">
            <x v="2"/>
          </reference>
          <reference field="1" count="1" selected="0">
            <x v="9"/>
          </reference>
        </references>
      </pivotArea>
    </chartFormat>
    <chartFormat chart="0" format="38" series="1">
      <pivotArea type="data" outline="0" fieldPosition="0">
        <references count="3">
          <reference field="4294967294" count="1" selected="0">
            <x v="0"/>
          </reference>
          <reference field="0" count="1" selected="0">
            <x v="1"/>
          </reference>
          <reference field="1" count="1" selected="0">
            <x v="9"/>
          </reference>
        </references>
      </pivotArea>
    </chartFormat>
    <chartFormat chart="0" format="39" series="1">
      <pivotArea type="data" outline="0" fieldPosition="0">
        <references count="3">
          <reference field="4294967294" count="1" selected="0">
            <x v="0"/>
          </reference>
          <reference field="0" count="1" selected="0">
            <x v="0"/>
          </reference>
          <reference field="1" count="1" selected="0">
            <x v="8"/>
          </reference>
        </references>
      </pivotArea>
    </chartFormat>
    <chartFormat chart="0" format="40" series="1">
      <pivotArea type="data" outline="0" fieldPosition="0">
        <references count="3">
          <reference field="4294967294" count="1" selected="0">
            <x v="0"/>
          </reference>
          <reference field="0" count="1" selected="0">
            <x v="2"/>
          </reference>
          <reference field="1" count="1" selected="0">
            <x v="8"/>
          </reference>
        </references>
      </pivotArea>
    </chartFormat>
    <chartFormat chart="0" format="41" series="1">
      <pivotArea type="data" outline="0" fieldPosition="0">
        <references count="3">
          <reference field="4294967294" count="1" selected="0">
            <x v="0"/>
          </reference>
          <reference field="0" count="1" selected="0">
            <x v="1"/>
          </reference>
          <reference field="1" count="1" selected="0">
            <x v="8"/>
          </reference>
        </references>
      </pivotArea>
    </chartFormat>
    <chartFormat chart="0" format="42" series="1">
      <pivotArea type="data" outline="0" fieldPosition="0">
        <references count="3">
          <reference field="4294967294" count="1" selected="0">
            <x v="0"/>
          </reference>
          <reference field="0" count="1" selected="0">
            <x v="4"/>
          </reference>
          <reference field="1" count="1" selected="0">
            <x v="7"/>
          </reference>
        </references>
      </pivotArea>
    </chartFormat>
    <chartFormat chart="0" format="43" series="1">
      <pivotArea type="data" outline="0" fieldPosition="0">
        <references count="3">
          <reference field="4294967294" count="1" selected="0">
            <x v="0"/>
          </reference>
          <reference field="0" count="1" selected="0">
            <x v="0"/>
          </reference>
          <reference field="1" count="1" selected="0">
            <x v="7"/>
          </reference>
        </references>
      </pivotArea>
    </chartFormat>
    <chartFormat chart="0" format="44" series="1">
      <pivotArea type="data" outline="0" fieldPosition="0">
        <references count="3">
          <reference field="4294967294" count="1" selected="0">
            <x v="0"/>
          </reference>
          <reference field="0" count="1" selected="0">
            <x v="2"/>
          </reference>
          <reference field="1" count="1" selected="0">
            <x v="7"/>
          </reference>
        </references>
      </pivotArea>
    </chartFormat>
    <chartFormat chart="0" format="45" series="1">
      <pivotArea type="data" outline="0" fieldPosition="0">
        <references count="3">
          <reference field="4294967294" count="1" selected="0">
            <x v="0"/>
          </reference>
          <reference field="0" count="1" selected="0">
            <x v="1"/>
          </reference>
          <reference field="1" count="1" selected="0">
            <x v="7"/>
          </reference>
        </references>
      </pivotArea>
    </chartFormat>
    <chartFormat chart="0" format="46" series="1">
      <pivotArea type="data" outline="0" fieldPosition="0">
        <references count="3">
          <reference field="4294967294" count="1" selected="0">
            <x v="0"/>
          </reference>
          <reference field="0" count="1" selected="0">
            <x v="3"/>
          </reference>
          <reference field="1" count="1" selected="0">
            <x v="7"/>
          </reference>
        </references>
      </pivotArea>
    </chartFormat>
    <chartFormat chart="0" format="47" series="1">
      <pivotArea type="data" outline="0" fieldPosition="0">
        <references count="2">
          <reference field="4294967294" count="1" selected="0">
            <x v="0"/>
          </reference>
          <reference field="0" count="1" selected="0">
            <x v="4"/>
          </reference>
        </references>
      </pivotArea>
    </chartFormat>
    <chartFormat chart="0" format="48" series="1">
      <pivotArea type="data" outline="0" fieldPosition="0">
        <references count="2">
          <reference field="4294967294" count="1" selected="0">
            <x v="0"/>
          </reference>
          <reference field="0" count="1" selected="0">
            <x v="0"/>
          </reference>
        </references>
      </pivotArea>
    </chartFormat>
    <chartFormat chart="0" format="49" series="1">
      <pivotArea type="data" outline="0" fieldPosition="0">
        <references count="2">
          <reference field="4294967294" count="1" selected="0">
            <x v="0"/>
          </reference>
          <reference field="0" count="1" selected="0">
            <x v="2"/>
          </reference>
        </references>
      </pivotArea>
    </chartFormat>
    <chartFormat chart="0" format="50" series="1">
      <pivotArea type="data" outline="0" fieldPosition="0">
        <references count="2">
          <reference field="4294967294" count="1" selected="0">
            <x v="0"/>
          </reference>
          <reference field="0" count="1" selected="0">
            <x v="1"/>
          </reference>
        </references>
      </pivotArea>
    </chartFormat>
    <chartFormat chart="0" format="51" series="1">
      <pivotArea type="data" outline="0" fieldPosition="0">
        <references count="2">
          <reference field="4294967294" count="1" selected="0">
            <x v="0"/>
          </reference>
          <reference field="0" count="1" selected="0">
            <x v="3"/>
          </reference>
        </references>
      </pivotArea>
    </chartFormat>
    <chartFormat chart="13" format="57" series="1">
      <pivotArea type="data" outline="0" fieldPosition="0">
        <references count="2">
          <reference field="4294967294" count="1" selected="0">
            <x v="0"/>
          </reference>
          <reference field="0" count="1" selected="0">
            <x v="4"/>
          </reference>
        </references>
      </pivotArea>
    </chartFormat>
    <chartFormat chart="13" format="58" series="1">
      <pivotArea type="data" outline="0" fieldPosition="0">
        <references count="2">
          <reference field="4294967294" count="1" selected="0">
            <x v="0"/>
          </reference>
          <reference field="0" count="1" selected="0">
            <x v="0"/>
          </reference>
        </references>
      </pivotArea>
    </chartFormat>
    <chartFormat chart="13" format="59" series="1">
      <pivotArea type="data" outline="0" fieldPosition="0">
        <references count="2">
          <reference field="4294967294" count="1" selected="0">
            <x v="0"/>
          </reference>
          <reference field="0" count="1" selected="0">
            <x v="2"/>
          </reference>
        </references>
      </pivotArea>
    </chartFormat>
    <chartFormat chart="13" format="60" series="1">
      <pivotArea type="data" outline="0" fieldPosition="0">
        <references count="2">
          <reference field="4294967294" count="1" selected="0">
            <x v="0"/>
          </reference>
          <reference field="0" count="1" selected="0">
            <x v="1"/>
          </reference>
        </references>
      </pivotArea>
    </chartFormat>
    <chartFormat chart="13" format="61" series="1">
      <pivotArea type="data" outline="0" fieldPosition="0">
        <references count="2">
          <reference field="4294967294" count="1" selected="0">
            <x v="0"/>
          </reference>
          <reference field="0" count="1" selected="0">
            <x v="3"/>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ProductName].&amp;[Smartwatc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A$1:$W$2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_Clean" xr10:uid="{273D5C7F-7145-4A7F-ACD9-081C6D25407B}" sourceName="Region_Clean">
  <pivotTables>
    <pivotTable tabId="8" name="PivotTable1"/>
    <pivotTable tabId="10" name="PivotTable1"/>
  </pivotTables>
  <data>
    <tabular pivotCacheId="375392246">
      <items count="4">
        <i x="3"/>
        <i x="1" s="1"/>
        <i x="0"/>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Name" xr10:uid="{FD5FA65D-B390-4988-9F54-A5B5AE8628F2}" sourceName="[Range].[ProductName]">
  <pivotTables>
    <pivotTable tabId="9" name="PivotTable2"/>
  </pivotTables>
  <data>
    <olap pivotCacheId="1970414230">
      <levels count="2">
        <level uniqueName="[Range].[ProductName].[(All)]" sourceCaption="(All)" count="0"/>
        <level uniqueName="[Range].[ProductName].[ProductName]" sourceCaption="ProductName" count="21">
          <ranges>
            <range startItem="0">
              <i n="[Range].[ProductName].&amp;[Almonds 1kg]" c="Almonds 1kg"/>
              <i n="[Range].[ProductName].&amp;[Bookshelf]" c="Bookshelf"/>
              <i n="[Range].[ProductName].&amp;[Coffee Beans]" c="Coffee Beans"/>
              <i n="[Range].[ProductName].&amp;[Green Tea]" c="Green Tea"/>
              <i n="[Range].[ProductName].&amp;[Headphones]" c="Headphones"/>
              <i n="[Range].[ProductName].&amp;[Jacket]" c="Jacket"/>
              <i n="[Range].[ProductName].&amp;[Jeans]" c="Jeans"/>
              <i n="[Range].[ProductName].&amp;[Laptop]" c="Laptop"/>
              <i n="[Range].[ProductName].&amp;[Notebook Set]" c="Notebook Set"/>
              <i n="[Range].[ProductName].&amp;[Office Chair]" c="Office Chair"/>
              <i n="[Range].[ProductName].&amp;[Olive Oil]" c="Olive Oil"/>
              <i n="[Range].[ProductName].&amp;[Printer Paper]" c="Printer Paper"/>
              <i n="[Range].[ProductName].&amp;[Protein Bar Box]" c="Protein Bar Box"/>
              <i n="[Range].[ProductName].&amp;[Smartphone]" c="Smartphone"/>
              <i n="[Range].[ProductName].&amp;[Smartwatch]" c="Smartwatch"/>
              <i n="[Range].[ProductName].&amp;[Sneakers]" c="Sneakers"/>
              <i n="[Range].[ProductName].&amp;[Sofa Set]" c="Sofa Set"/>
              <i n="[Range].[ProductName].&amp;[Standing Desk]" c="Standing Desk"/>
              <i n="[Range].[ProductName].&amp;[Tablet]" c="Tablet"/>
              <i n="[Range].[ProductName].&amp;[T-Shirt Pack]" c="T-Shirt Pack"/>
              <i n="[Range].[ProductName].&amp;[Unknown Product]" c="Unknown Product" nd="1"/>
            </range>
          </ranges>
        </level>
      </levels>
      <selections count="1">
        <selection n="[Range].[ProductName].&amp;[Smartwatch]"/>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_Clean" xr10:uid="{DE9870B4-1FDD-4016-A8E4-BA66CE032562}" cache="Slicer_Region_Clean" caption="Region_Clean" rowHeight="234950"/>
  <slicer name="ProductName" xr10:uid="{457588BC-A0EF-491D-9334-000AE384F4A5}" cache="Slicer_ProductName" caption="ProductName" startItem="10"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F57DF4C-6AD9-4B48-804C-7E32E5F0FDFD}" name="tblOrders" displayName="tblOrders" ref="A1:W201" totalsRowShown="0" headerRowDxfId="3" headerRowBorderDxfId="14" tableBorderDxfId="15">
  <sortState xmlns:xlrd2="http://schemas.microsoft.com/office/spreadsheetml/2017/richdata2" ref="A2:W201">
    <sortCondition ref="E2:E201"/>
    <sortCondition descending="1" ref="G2:G201"/>
  </sortState>
  <tableColumns count="23">
    <tableColumn id="1" xr3:uid="{074B7AA3-613F-43F6-9364-A05038966F39}" name="OrderID" dataDxfId="13"/>
    <tableColumn id="2" xr3:uid="{917ECEE9-9EC7-41E8-941D-FD5D93145F55}" name="OrderDate" dataDxfId="12"/>
    <tableColumn id="3" xr3:uid="{9BE5B57D-AD81-46F6-BFAE-0B1C1F6C00EF}" name="CustomerID" dataDxfId="11"/>
    <tableColumn id="4" xr3:uid="{7E0B7014-A34E-424C-8685-C9C66F354101}" name="ProductID" dataDxfId="10"/>
    <tableColumn id="5" xr3:uid="{712D5937-5EC4-45CB-83A8-88A970991C26}" name="Region" dataDxfId="9"/>
    <tableColumn id="6" xr3:uid="{9CF3EECD-100E-49B2-A334-585CE1A9125A}" name="Salesperson" dataDxfId="8"/>
    <tableColumn id="7" xr3:uid="{D03E69F0-C717-4823-B6CA-B1361D75E508}" name="Quantity" dataDxfId="7"/>
    <tableColumn id="8" xr3:uid="{1F83DE1E-D848-4E8D-AE20-6EAAF1B02D57}" name="Discount" dataDxfId="6"/>
    <tableColumn id="9" xr3:uid="{8FF6A6F7-2BA6-44ED-B4E8-19098D5227E9}" name="PaymentStatus" dataDxfId="5"/>
    <tableColumn id="10" xr3:uid="{E3746D1B-D742-41B6-AC2A-D6BFCC5B0AB0}" name="Salesperson_Clean">
      <calculatedColumnFormula>PROPER(TRIM(F2))</calculatedColumnFormula>
    </tableColumn>
    <tableColumn id="11" xr3:uid="{AD5E2B0F-277E-4EA5-9174-E47AAA7E1C77}" name="Region_Clean">
      <calculatedColumnFormula>PROPER(TRIM(E2))</calculatedColumnFormula>
    </tableColumn>
    <tableColumn id="12" xr3:uid="{F954C001-2692-4C49-AA5E-5D6460415384}" name="ProductID_Clean">
      <calculatedColumnFormula>TRIM(D2)</calculatedColumnFormula>
    </tableColumn>
    <tableColumn id="13" xr3:uid="{D03BE6D3-41D7-437D-84DF-48443034E6E7}" name="ProductName">
      <calculatedColumnFormula>IFERROR(VLOOKUP(L2,Products!$A$2:$D$21,2,FALSE),"Unknown Product")</calculatedColumnFormula>
    </tableColumn>
    <tableColumn id="14" xr3:uid="{9F4CEDC1-018E-4C55-9935-3DF0AF72EE43}" name="Category">
      <calculatedColumnFormula>IFERROR(VLOOKUP(L2,Products!$A$2:$D$21,3,0),"Unknown ")</calculatedColumnFormula>
    </tableColumn>
    <tableColumn id="15" xr3:uid="{1623941B-C74A-4E2B-BAA1-5F15B940EA32}" name="UnitPrice">
      <calculatedColumnFormula>IFERROR(VLOOKUP(L2,Products!$A$2:$D$21,4,0),0)</calculatedColumnFormula>
    </tableColumn>
    <tableColumn id="16" xr3:uid="{D4444D0E-9EA5-40EB-BE94-73AAA6BE645F}" name="CustomerCity">
      <calculatedColumnFormula>IFERROR(INDEX(Customers!$C$2:$C$41,MATCH(C2,Customers!$A$2:$A$41,0)),"Unknown City")</calculatedColumnFormula>
    </tableColumn>
    <tableColumn id="17" xr3:uid="{8EA27336-7818-45E6-B45D-74921F89863C}" name="Revenue" dataDxfId="0">
      <calculatedColumnFormula>G2*O2*(1-H2)</calculatedColumnFormula>
    </tableColumn>
    <tableColumn id="18" xr3:uid="{28123CD1-7DCE-48A6-999B-1751151DB60D}" name="Month" dataDxfId="4">
      <calculatedColumnFormula>TEXT(B2,"mmm-yyyy")</calculatedColumnFormula>
    </tableColumn>
    <tableColumn id="19" xr3:uid="{4AD09048-A19C-4E71-9166-970CAB3A198F}" name="OrderSize">
      <calculatedColumnFormula>IF(Q2&gt;=50000,"Large",IF(Q2&gt;=20000,"Medium","Small"))</calculatedColumnFormula>
    </tableColumn>
    <tableColumn id="20" xr3:uid="{A0DE0104-5AA8-401B-9B42-23BC5ED6FE45}" name="CommissionPct">
      <calculatedColumnFormula>VLOOKUP(Q2,Commission!$A$2:$B$6,2,TRUE)</calculatedColumnFormula>
    </tableColumn>
    <tableColumn id="21" xr3:uid="{87D515D9-A4E3-4AB2-96F0-99014A8279A9}" name="CommissionAmt">
      <calculatedColumnFormula>Q2*T2</calculatedColumnFormula>
    </tableColumn>
    <tableColumn id="22" xr3:uid="{3BBBB195-63F5-410E-B7C4-E47C026BFC2B}" name="FollowUp">
      <calculatedColumnFormula>IF(AND(I2="Pending",Q2&gt;20000),"Follow Up","OK")</calculatedColumnFormula>
    </tableColumn>
    <tableColumn id="23" xr3:uid="{43ABE06D-C90B-4733-A74D-0ABF4A7B3163}" name="Segment_BONUS">
      <calculatedColumnFormula>_xlfn.XLOOKUP(C2,Customers!$A$2:$A$41,Customers!$D$2:$D$41)</calculatedColumnFormula>
    </tableColumn>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2A5C"/>
    <pageSetUpPr fitToPage="1"/>
  </sheetPr>
  <dimension ref="A1:D56"/>
  <sheetViews>
    <sheetView showGridLines="0" topLeftCell="A43" workbookViewId="0"/>
  </sheetViews>
  <sheetFormatPr defaultRowHeight="14.4" x14ac:dyDescent="0.3"/>
  <cols>
    <col min="1" max="1" width="7" customWidth="1"/>
    <col min="2" max="2" width="88" customWidth="1"/>
    <col min="3" max="3" width="22" customWidth="1"/>
    <col min="4" max="4" width="8" customWidth="1"/>
  </cols>
  <sheetData>
    <row r="1" spans="1:4" ht="22.8" x14ac:dyDescent="0.4">
      <c r="A1" s="1" t="s">
        <v>0</v>
      </c>
    </row>
    <row r="2" spans="1:4" x14ac:dyDescent="0.3">
      <c r="A2" s="2" t="s">
        <v>1</v>
      </c>
    </row>
    <row r="4" spans="1:4" x14ac:dyDescent="0.3">
      <c r="A4" s="24" t="s">
        <v>2</v>
      </c>
      <c r="B4" s="25"/>
      <c r="C4" s="25"/>
      <c r="D4" s="25"/>
    </row>
    <row r="5" spans="1:4" x14ac:dyDescent="0.3">
      <c r="A5" s="26" t="s">
        <v>3</v>
      </c>
      <c r="B5" s="25"/>
      <c r="C5" s="25"/>
      <c r="D5" s="25"/>
    </row>
    <row r="6" spans="1:4" ht="28.05" customHeight="1" x14ac:dyDescent="0.3">
      <c r="A6" s="26" t="s">
        <v>4</v>
      </c>
      <c r="B6" s="25"/>
      <c r="C6" s="25"/>
      <c r="D6" s="25"/>
    </row>
    <row r="7" spans="1:4" ht="28.05" customHeight="1" x14ac:dyDescent="0.3">
      <c r="A7" s="26" t="s">
        <v>5</v>
      </c>
      <c r="B7" s="25"/>
      <c r="C7" s="25"/>
      <c r="D7" s="25"/>
    </row>
    <row r="8" spans="1:4" x14ac:dyDescent="0.3">
      <c r="A8" s="26" t="s">
        <v>6</v>
      </c>
      <c r="B8" s="25"/>
      <c r="C8" s="25"/>
      <c r="D8" s="25"/>
    </row>
    <row r="9" spans="1:4" x14ac:dyDescent="0.3">
      <c r="A9" s="26" t="s">
        <v>7</v>
      </c>
      <c r="B9" s="25"/>
      <c r="C9" s="25"/>
      <c r="D9" s="25"/>
    </row>
    <row r="10" spans="1:4" x14ac:dyDescent="0.3">
      <c r="A10" s="26" t="s">
        <v>8</v>
      </c>
      <c r="B10" s="25"/>
      <c r="C10" s="25"/>
      <c r="D10" s="25"/>
    </row>
    <row r="12" spans="1:4" x14ac:dyDescent="0.3">
      <c r="A12" s="3" t="s">
        <v>9</v>
      </c>
      <c r="B12" s="4"/>
      <c r="C12" s="4"/>
      <c r="D12" s="4"/>
    </row>
    <row r="13" spans="1:4" x14ac:dyDescent="0.3">
      <c r="A13" s="5" t="s">
        <v>10</v>
      </c>
      <c r="B13" s="5" t="s">
        <v>11</v>
      </c>
      <c r="C13" s="5" t="s">
        <v>12</v>
      </c>
      <c r="D13" s="5" t="s">
        <v>13</v>
      </c>
    </row>
    <row r="14" spans="1:4" ht="45" customHeight="1" x14ac:dyDescent="0.3">
      <c r="A14" s="6" t="s">
        <v>14</v>
      </c>
      <c r="B14" s="7" t="s">
        <v>15</v>
      </c>
      <c r="C14" s="7" t="s">
        <v>16</v>
      </c>
      <c r="D14" s="6">
        <v>4</v>
      </c>
    </row>
    <row r="15" spans="1:4" ht="45" customHeight="1" x14ac:dyDescent="0.3">
      <c r="A15" s="6" t="s">
        <v>17</v>
      </c>
      <c r="B15" s="7" t="s">
        <v>18</v>
      </c>
      <c r="C15" s="7" t="s">
        <v>19</v>
      </c>
      <c r="D15" s="6">
        <v>4</v>
      </c>
    </row>
    <row r="16" spans="1:4" ht="30" customHeight="1" x14ac:dyDescent="0.3">
      <c r="A16" s="6" t="s">
        <v>20</v>
      </c>
      <c r="B16" s="7" t="s">
        <v>21</v>
      </c>
      <c r="C16" s="7" t="s">
        <v>22</v>
      </c>
      <c r="D16" s="6">
        <v>3</v>
      </c>
    </row>
    <row r="17" spans="1:4" ht="30" customHeight="1" x14ac:dyDescent="0.3">
      <c r="A17" s="6" t="s">
        <v>23</v>
      </c>
      <c r="B17" s="7" t="s">
        <v>24</v>
      </c>
      <c r="C17" s="7" t="s">
        <v>25</v>
      </c>
      <c r="D17" s="6">
        <v>4</v>
      </c>
    </row>
    <row r="19" spans="1:4" x14ac:dyDescent="0.3">
      <c r="A19" s="3" t="s">
        <v>26</v>
      </c>
      <c r="B19" s="4"/>
      <c r="C19" s="4"/>
      <c r="D19" s="4"/>
    </row>
    <row r="20" spans="1:4" x14ac:dyDescent="0.3">
      <c r="A20" s="5" t="s">
        <v>10</v>
      </c>
      <c r="B20" s="5" t="s">
        <v>11</v>
      </c>
      <c r="C20" s="5" t="s">
        <v>12</v>
      </c>
      <c r="D20" s="5" t="s">
        <v>13</v>
      </c>
    </row>
    <row r="21" spans="1:4" ht="30" customHeight="1" x14ac:dyDescent="0.3">
      <c r="A21" s="6" t="s">
        <v>27</v>
      </c>
      <c r="B21" s="7" t="s">
        <v>28</v>
      </c>
      <c r="C21" s="7" t="s">
        <v>29</v>
      </c>
      <c r="D21" s="6">
        <v>5</v>
      </c>
    </row>
    <row r="22" spans="1:4" ht="30" customHeight="1" x14ac:dyDescent="0.3">
      <c r="A22" s="6" t="s">
        <v>30</v>
      </c>
      <c r="B22" s="7" t="s">
        <v>31</v>
      </c>
      <c r="C22" s="7" t="s">
        <v>32</v>
      </c>
      <c r="D22" s="6">
        <v>4</v>
      </c>
    </row>
    <row r="23" spans="1:4" ht="45" customHeight="1" x14ac:dyDescent="0.3">
      <c r="A23" s="6" t="s">
        <v>33</v>
      </c>
      <c r="B23" s="7" t="s">
        <v>34</v>
      </c>
      <c r="C23" s="7" t="s">
        <v>35</v>
      </c>
      <c r="D23" s="6">
        <v>4</v>
      </c>
    </row>
    <row r="24" spans="1:4" ht="30" customHeight="1" x14ac:dyDescent="0.3">
      <c r="A24" s="6" t="s">
        <v>36</v>
      </c>
      <c r="B24" s="7" t="s">
        <v>37</v>
      </c>
      <c r="C24" s="7" t="s">
        <v>38</v>
      </c>
      <c r="D24" s="6">
        <v>6</v>
      </c>
    </row>
    <row r="25" spans="1:4" ht="30" customHeight="1" x14ac:dyDescent="0.3">
      <c r="A25" s="6" t="s">
        <v>39</v>
      </c>
      <c r="B25" s="7" t="s">
        <v>40</v>
      </c>
      <c r="C25" s="7" t="s">
        <v>41</v>
      </c>
      <c r="D25" s="6">
        <v>6</v>
      </c>
    </row>
    <row r="27" spans="1:4" x14ac:dyDescent="0.3">
      <c r="A27" s="3" t="s">
        <v>42</v>
      </c>
      <c r="B27" s="4"/>
      <c r="C27" s="4"/>
      <c r="D27" s="4"/>
    </row>
    <row r="28" spans="1:4" x14ac:dyDescent="0.3">
      <c r="A28" s="5" t="s">
        <v>10</v>
      </c>
      <c r="B28" s="5" t="s">
        <v>11</v>
      </c>
      <c r="C28" s="5" t="s">
        <v>12</v>
      </c>
      <c r="D28" s="5" t="s">
        <v>13</v>
      </c>
    </row>
    <row r="29" spans="1:4" ht="30" customHeight="1" x14ac:dyDescent="0.3">
      <c r="A29" s="6" t="s">
        <v>43</v>
      </c>
      <c r="B29" s="7" t="s">
        <v>44</v>
      </c>
      <c r="C29" s="7" t="s">
        <v>45</v>
      </c>
      <c r="D29" s="6">
        <v>3</v>
      </c>
    </row>
    <row r="30" spans="1:4" ht="30" customHeight="1" x14ac:dyDescent="0.3">
      <c r="A30" s="6" t="s">
        <v>46</v>
      </c>
      <c r="B30" s="7" t="s">
        <v>47</v>
      </c>
      <c r="C30" s="7" t="s">
        <v>48</v>
      </c>
      <c r="D30" s="6">
        <v>3</v>
      </c>
    </row>
    <row r="31" spans="1:4" ht="30" customHeight="1" x14ac:dyDescent="0.3">
      <c r="A31" s="6" t="s">
        <v>49</v>
      </c>
      <c r="B31" s="7" t="s">
        <v>50</v>
      </c>
      <c r="C31" s="7" t="s">
        <v>51</v>
      </c>
      <c r="D31" s="6">
        <v>4</v>
      </c>
    </row>
    <row r="32" spans="1:4" ht="30" customHeight="1" x14ac:dyDescent="0.3">
      <c r="A32" s="6" t="s">
        <v>52</v>
      </c>
      <c r="B32" s="7" t="s">
        <v>53</v>
      </c>
      <c r="C32" s="7" t="s">
        <v>54</v>
      </c>
      <c r="D32" s="6">
        <v>2</v>
      </c>
    </row>
    <row r="33" spans="1:4" ht="30" customHeight="1" x14ac:dyDescent="0.3">
      <c r="A33" s="6" t="s">
        <v>55</v>
      </c>
      <c r="B33" s="7" t="s">
        <v>56</v>
      </c>
      <c r="C33" s="7" t="s">
        <v>57</v>
      </c>
      <c r="D33" s="6">
        <v>4</v>
      </c>
    </row>
    <row r="34" spans="1:4" ht="30" customHeight="1" x14ac:dyDescent="0.3">
      <c r="A34" s="6" t="s">
        <v>58</v>
      </c>
      <c r="B34" s="7" t="s">
        <v>59</v>
      </c>
      <c r="C34" s="7" t="s">
        <v>60</v>
      </c>
      <c r="D34" s="6">
        <v>5</v>
      </c>
    </row>
    <row r="35" spans="1:4" ht="30" customHeight="1" x14ac:dyDescent="0.3">
      <c r="A35" s="6" t="s">
        <v>61</v>
      </c>
      <c r="B35" s="7" t="s">
        <v>62</v>
      </c>
      <c r="C35" s="7" t="s">
        <v>63</v>
      </c>
      <c r="D35" s="6">
        <v>4</v>
      </c>
    </row>
    <row r="37" spans="1:4" x14ac:dyDescent="0.3">
      <c r="A37" s="3" t="s">
        <v>64</v>
      </c>
      <c r="B37" s="4"/>
      <c r="C37" s="4"/>
      <c r="D37" s="4"/>
    </row>
    <row r="38" spans="1:4" x14ac:dyDescent="0.3">
      <c r="A38" s="5" t="s">
        <v>10</v>
      </c>
      <c r="B38" s="5" t="s">
        <v>11</v>
      </c>
      <c r="C38" s="5" t="s">
        <v>12</v>
      </c>
      <c r="D38" s="5" t="s">
        <v>13</v>
      </c>
    </row>
    <row r="39" spans="1:4" ht="30" customHeight="1" x14ac:dyDescent="0.3">
      <c r="A39" s="6" t="s">
        <v>65</v>
      </c>
      <c r="B39" s="7" t="s">
        <v>66</v>
      </c>
      <c r="C39" s="7" t="s">
        <v>67</v>
      </c>
      <c r="D39" s="6">
        <v>4</v>
      </c>
    </row>
    <row r="40" spans="1:4" ht="30" customHeight="1" x14ac:dyDescent="0.3">
      <c r="A40" s="6" t="s">
        <v>68</v>
      </c>
      <c r="B40" s="7" t="s">
        <v>69</v>
      </c>
      <c r="C40" s="7" t="s">
        <v>67</v>
      </c>
      <c r="D40" s="6">
        <v>5</v>
      </c>
    </row>
    <row r="41" spans="1:4" ht="30" customHeight="1" x14ac:dyDescent="0.3">
      <c r="A41" s="6" t="s">
        <v>70</v>
      </c>
      <c r="B41" s="7" t="s">
        <v>71</v>
      </c>
      <c r="C41" s="7" t="s">
        <v>67</v>
      </c>
      <c r="D41" s="6">
        <v>4</v>
      </c>
    </row>
    <row r="42" spans="1:4" ht="30" customHeight="1" x14ac:dyDescent="0.3">
      <c r="A42" s="6" t="s">
        <v>72</v>
      </c>
      <c r="B42" s="7" t="s">
        <v>73</v>
      </c>
      <c r="C42" s="7" t="s">
        <v>67</v>
      </c>
      <c r="D42" s="6">
        <v>3</v>
      </c>
    </row>
    <row r="43" spans="1:4" ht="30" customHeight="1" x14ac:dyDescent="0.3">
      <c r="A43" s="6" t="s">
        <v>74</v>
      </c>
      <c r="B43" s="7" t="s">
        <v>75</v>
      </c>
      <c r="C43" s="7" t="s">
        <v>67</v>
      </c>
      <c r="D43" s="6">
        <v>4</v>
      </c>
    </row>
    <row r="45" spans="1:4" x14ac:dyDescent="0.3">
      <c r="A45" s="3" t="s">
        <v>76</v>
      </c>
      <c r="B45" s="4"/>
      <c r="C45" s="4"/>
      <c r="D45" s="4"/>
    </row>
    <row r="46" spans="1:4" x14ac:dyDescent="0.3">
      <c r="A46" s="5" t="s">
        <v>10</v>
      </c>
      <c r="B46" s="5" t="s">
        <v>11</v>
      </c>
      <c r="C46" s="5" t="s">
        <v>12</v>
      </c>
      <c r="D46" s="5" t="s">
        <v>13</v>
      </c>
    </row>
    <row r="47" spans="1:4" ht="30" customHeight="1" x14ac:dyDescent="0.3">
      <c r="A47" s="6" t="s">
        <v>77</v>
      </c>
      <c r="B47" s="7" t="s">
        <v>78</v>
      </c>
      <c r="C47" s="7" t="s">
        <v>79</v>
      </c>
      <c r="D47" s="6">
        <v>3</v>
      </c>
    </row>
    <row r="48" spans="1:4" ht="30" customHeight="1" x14ac:dyDescent="0.3">
      <c r="A48" s="6" t="s">
        <v>80</v>
      </c>
      <c r="B48" s="7" t="s">
        <v>81</v>
      </c>
      <c r="C48" s="7" t="s">
        <v>82</v>
      </c>
      <c r="D48" s="6">
        <v>4</v>
      </c>
    </row>
    <row r="49" spans="1:4" ht="45" customHeight="1" x14ac:dyDescent="0.3">
      <c r="A49" s="6" t="s">
        <v>83</v>
      </c>
      <c r="B49" s="7" t="s">
        <v>84</v>
      </c>
      <c r="C49" s="7" t="s">
        <v>85</v>
      </c>
      <c r="D49" s="6">
        <v>4</v>
      </c>
    </row>
    <row r="50" spans="1:4" ht="30" customHeight="1" x14ac:dyDescent="0.3">
      <c r="A50" s="6" t="s">
        <v>86</v>
      </c>
      <c r="B50" s="7" t="s">
        <v>87</v>
      </c>
      <c r="C50" s="7" t="s">
        <v>79</v>
      </c>
      <c r="D50" s="6">
        <v>2</v>
      </c>
    </row>
    <row r="51" spans="1:4" ht="30" customHeight="1" x14ac:dyDescent="0.3">
      <c r="A51" s="6" t="s">
        <v>88</v>
      </c>
      <c r="B51" s="7" t="s">
        <v>89</v>
      </c>
      <c r="C51" s="7" t="s">
        <v>90</v>
      </c>
      <c r="D51" s="6">
        <v>2</v>
      </c>
    </row>
    <row r="53" spans="1:4" x14ac:dyDescent="0.3">
      <c r="A53" s="3" t="s">
        <v>91</v>
      </c>
      <c r="B53" s="4"/>
      <c r="C53" s="4"/>
      <c r="D53" s="4"/>
    </row>
    <row r="54" spans="1:4" x14ac:dyDescent="0.3">
      <c r="A54" s="5" t="s">
        <v>10</v>
      </c>
      <c r="B54" s="5" t="s">
        <v>11</v>
      </c>
      <c r="C54" s="5" t="s">
        <v>12</v>
      </c>
      <c r="D54" s="5" t="s">
        <v>13</v>
      </c>
    </row>
    <row r="55" spans="1:4" ht="30" customHeight="1" x14ac:dyDescent="0.3">
      <c r="A55" s="6" t="s">
        <v>92</v>
      </c>
      <c r="B55" s="7" t="s">
        <v>93</v>
      </c>
      <c r="C55" s="7" t="s">
        <v>94</v>
      </c>
      <c r="D55" s="6">
        <v>3</v>
      </c>
    </row>
    <row r="56" spans="1:4" ht="30" customHeight="1" x14ac:dyDescent="0.3">
      <c r="A56" s="6" t="s">
        <v>95</v>
      </c>
      <c r="B56" s="7" t="s">
        <v>96</v>
      </c>
      <c r="C56" s="7" t="s">
        <v>97</v>
      </c>
      <c r="D56" s="6">
        <v>2</v>
      </c>
    </row>
  </sheetData>
  <mergeCells count="7">
    <mergeCell ref="A4:D4"/>
    <mergeCell ref="A7:D7"/>
    <mergeCell ref="A10:D10"/>
    <mergeCell ref="A5:D5"/>
    <mergeCell ref="A9:D9"/>
    <mergeCell ref="A8:D8"/>
    <mergeCell ref="A6:D6"/>
  </mergeCells>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A1:W201"/>
  <sheetViews>
    <sheetView tabSelected="1" zoomScale="81" workbookViewId="0">
      <pane ySplit="1" topLeftCell="A2" activePane="bottomLeft" state="frozen"/>
      <selection pane="bottomLeft" activeCell="W2" sqref="W2"/>
    </sheetView>
  </sheetViews>
  <sheetFormatPr defaultRowHeight="14.4" x14ac:dyDescent="0.3"/>
  <cols>
    <col min="1" max="1" width="11" customWidth="1"/>
    <col min="2" max="2" width="12.88671875" customWidth="1"/>
    <col min="3" max="3" width="14.109375" customWidth="1"/>
    <col min="4" max="4" width="12.33203125" customWidth="1"/>
    <col min="5" max="5" width="10" customWidth="1"/>
    <col min="6" max="6" width="15" customWidth="1"/>
    <col min="7" max="7" width="10.88671875" customWidth="1"/>
    <col min="8" max="8" width="11.33203125" customWidth="1"/>
    <col min="9" max="9" width="17" customWidth="1"/>
    <col min="10" max="10" width="21.5546875" customWidth="1"/>
    <col min="11" max="11" width="16.33203125" customWidth="1"/>
    <col min="12" max="12" width="18.88671875" customWidth="1"/>
    <col min="13" max="13" width="20" customWidth="1"/>
    <col min="14" max="14" width="15.6640625" bestFit="1" customWidth="1"/>
    <col min="15" max="15" width="11.6640625" customWidth="1"/>
    <col min="16" max="16" width="15.77734375" customWidth="1"/>
    <col min="17" max="17" width="12" customWidth="1"/>
    <col min="18" max="18" width="11" customWidth="1"/>
    <col min="19" max="19" width="12.44140625" customWidth="1"/>
    <col min="20" max="20" width="17.5546875" customWidth="1"/>
    <col min="21" max="21" width="18.109375" customWidth="1"/>
    <col min="22" max="22" width="11.77734375" customWidth="1"/>
    <col min="23" max="23" width="19.33203125" customWidth="1"/>
  </cols>
  <sheetData>
    <row r="1" spans="1:23" ht="31.95" customHeight="1" x14ac:dyDescent="0.3">
      <c r="A1" s="29" t="s">
        <v>98</v>
      </c>
      <c r="B1" s="29" t="s">
        <v>99</v>
      </c>
      <c r="C1" s="29" t="s">
        <v>100</v>
      </c>
      <c r="D1" s="29" t="s">
        <v>101</v>
      </c>
      <c r="E1" s="29" t="s">
        <v>102</v>
      </c>
      <c r="F1" s="29" t="s">
        <v>103</v>
      </c>
      <c r="G1" s="29" t="s">
        <v>104</v>
      </c>
      <c r="H1" s="29" t="s">
        <v>105</v>
      </c>
      <c r="I1" s="29" t="s">
        <v>106</v>
      </c>
      <c r="J1" s="30" t="s">
        <v>107</v>
      </c>
      <c r="K1" s="30" t="s">
        <v>108</v>
      </c>
      <c r="L1" s="30" t="s">
        <v>109</v>
      </c>
      <c r="M1" s="30" t="s">
        <v>110</v>
      </c>
      <c r="N1" s="30" t="s">
        <v>111</v>
      </c>
      <c r="O1" s="30" t="s">
        <v>112</v>
      </c>
      <c r="P1" s="30" t="s">
        <v>113</v>
      </c>
      <c r="Q1" s="30" t="s">
        <v>114</v>
      </c>
      <c r="R1" s="30" t="s">
        <v>115</v>
      </c>
      <c r="S1" s="30" t="s">
        <v>116</v>
      </c>
      <c r="T1" s="30" t="s">
        <v>117</v>
      </c>
      <c r="U1" s="30" t="s">
        <v>118</v>
      </c>
      <c r="V1" s="30" t="s">
        <v>119</v>
      </c>
      <c r="W1" s="30" t="s">
        <v>120</v>
      </c>
    </row>
    <row r="2" spans="1:23" x14ac:dyDescent="0.3">
      <c r="A2" s="9" t="s">
        <v>368</v>
      </c>
      <c r="B2" s="10">
        <v>45308</v>
      </c>
      <c r="C2" s="9" t="s">
        <v>208</v>
      </c>
      <c r="D2" s="9" t="s">
        <v>219</v>
      </c>
      <c r="E2" s="9" t="s">
        <v>247</v>
      </c>
      <c r="F2" s="9" t="s">
        <v>154</v>
      </c>
      <c r="G2" s="9">
        <v>6</v>
      </c>
      <c r="H2" s="11">
        <v>0</v>
      </c>
      <c r="I2" s="9" t="s">
        <v>126</v>
      </c>
      <c r="J2" t="str">
        <f>PROPER(TRIM(F2))</f>
        <v>Kiran Shah</v>
      </c>
      <c r="K2" t="str">
        <f>PROPER(TRIM(E2))</f>
        <v>North</v>
      </c>
      <c r="L2" t="str">
        <f>TRIM(D2)</f>
        <v>P104</v>
      </c>
      <c r="M2" t="str">
        <f>IFERROR(VLOOKUP(L2,Products!$A$2:$D$21,2,FALSE),"Unknown Product")</f>
        <v>Tablet</v>
      </c>
      <c r="N2" t="str">
        <f>IFERROR(VLOOKUP(L2,Products!$A$2:$D$21,3,0),"Unknown ")</f>
        <v>Electronics</v>
      </c>
      <c r="O2">
        <f>IFERROR(VLOOKUP(L2,Products!$A$2:$D$21,4,0),0)</f>
        <v>32000</v>
      </c>
      <c r="P2" t="str">
        <f>IFERROR(INDEX(Customers!$C$2:$C$41,MATCH(C2,Customers!$A$2:$A$41,0)),"Unknown City")</f>
        <v>Pune</v>
      </c>
      <c r="Q2" s="22">
        <f>G2*O2*(1-H2)</f>
        <v>192000</v>
      </c>
      <c r="R2" t="str">
        <f>TEXT(B2,"mmm-yyyy")</f>
        <v>Jan-2024</v>
      </c>
      <c r="S2" t="str">
        <f>IF(Q2&gt;=50000,"Large",IF(Q2&gt;=20000,"Medium","Small"))</f>
        <v>Large</v>
      </c>
      <c r="T2">
        <f>VLOOKUP(Q2,Commission!$A$2:$B$6,2,TRUE)</f>
        <v>0.06</v>
      </c>
      <c r="U2">
        <f>Q2*T2</f>
        <v>11520</v>
      </c>
      <c r="V2" t="str">
        <f>IF(AND(I2="Pending",Q2&gt;20000),"Follow Up","OK")</f>
        <v>OK</v>
      </c>
      <c r="W2" t="str">
        <f>_xlfn.XLOOKUP(C2,Customers!$A$2:$A$41,Customers!$D$2:$D$41)</f>
        <v>Home Office</v>
      </c>
    </row>
    <row r="3" spans="1:23" x14ac:dyDescent="0.3">
      <c r="A3" s="9" t="s">
        <v>245</v>
      </c>
      <c r="B3" s="10">
        <v>45620</v>
      </c>
      <c r="C3" s="9" t="s">
        <v>199</v>
      </c>
      <c r="D3" s="9" t="s">
        <v>246</v>
      </c>
      <c r="E3" s="9" t="s">
        <v>247</v>
      </c>
      <c r="F3" s="9" t="s">
        <v>154</v>
      </c>
      <c r="G3" s="9">
        <v>5</v>
      </c>
      <c r="H3" s="11">
        <v>0</v>
      </c>
      <c r="I3" s="9" t="s">
        <v>126</v>
      </c>
      <c r="J3" t="str">
        <f>PROPER(TRIM(F3))</f>
        <v>Kiran Shah</v>
      </c>
      <c r="K3" t="str">
        <f>PROPER(TRIM(E3))</f>
        <v>North</v>
      </c>
      <c r="L3" t="str">
        <f>TRIM(D3)</f>
        <v>P999</v>
      </c>
      <c r="M3" t="str">
        <f>IFERROR(VLOOKUP(L3,Products!$A$2:$D$21,2,FALSE),"Unknown Product")</f>
        <v>Unknown Product</v>
      </c>
      <c r="N3" t="str">
        <f>IFERROR(VLOOKUP(L3,Products!$A$2:$D$21,3,0),"Unknown ")</f>
        <v xml:space="preserve">Unknown </v>
      </c>
      <c r="O3">
        <f>IFERROR(VLOOKUP(L3,Products!$A$2:$D$21,4,0),0)</f>
        <v>0</v>
      </c>
      <c r="P3" t="str">
        <f>IFERROR(INDEX(Customers!$C$2:$C$41,MATCH(C3,Customers!$A$2:$A$41,0)),"Unknown City")</f>
        <v>Delhi</v>
      </c>
      <c r="Q3" s="22">
        <f>G3*O3*(1-H3)</f>
        <v>0</v>
      </c>
      <c r="R3" t="str">
        <f t="shared" ref="R3:R66" si="0">TEXT(B3,"mmm-yyyy")</f>
        <v>Nov-2024</v>
      </c>
      <c r="S3" t="str">
        <f>IF(Q3&gt;=50000,"Large",IF(Q3&gt;=20000,"Medium","Small"))</f>
        <v>Small</v>
      </c>
      <c r="T3">
        <f>VLOOKUP(Q3,Commission!$A$2:$B$6,2,TRUE)</f>
        <v>0.02</v>
      </c>
      <c r="U3">
        <f>Q3*T3</f>
        <v>0</v>
      </c>
      <c r="V3" t="str">
        <f>IF(AND(I3="Pending",Q3&gt;20000),"Follow Up","OK")</f>
        <v>OK</v>
      </c>
      <c r="W3" t="str">
        <f>_xlfn.XLOOKUP(C3,Customers!$A$2:$A$41,Customers!$D$2:$D$41)</f>
        <v>Consumer</v>
      </c>
    </row>
    <row r="4" spans="1:23" x14ac:dyDescent="0.3">
      <c r="A4" s="9" t="s">
        <v>281</v>
      </c>
      <c r="B4" s="10">
        <v>45410</v>
      </c>
      <c r="C4" s="9" t="s">
        <v>215</v>
      </c>
      <c r="D4" s="9" t="s">
        <v>185</v>
      </c>
      <c r="E4" s="9" t="s">
        <v>171</v>
      </c>
      <c r="F4" s="9" t="s">
        <v>154</v>
      </c>
      <c r="G4" s="9">
        <v>4</v>
      </c>
      <c r="H4" s="11">
        <v>0.15</v>
      </c>
      <c r="I4" s="9" t="s">
        <v>126</v>
      </c>
      <c r="J4" t="str">
        <f>PROPER(TRIM(F4))</f>
        <v>Kiran Shah</v>
      </c>
      <c r="K4" t="str">
        <f>PROPER(TRIM(E4))</f>
        <v>South</v>
      </c>
      <c r="L4" t="str">
        <f>TRIM(D4)</f>
        <v>P103</v>
      </c>
      <c r="M4" t="str">
        <f>IFERROR(VLOOKUP(L4,Products!$A$2:$D$21,2,FALSE),"Unknown Product")</f>
        <v>Headphones</v>
      </c>
      <c r="N4" t="str">
        <f>IFERROR(VLOOKUP(L4,Products!$A$2:$D$21,3,0),"Unknown ")</f>
        <v>Electronics</v>
      </c>
      <c r="O4">
        <f>IFERROR(VLOOKUP(L4,Products!$A$2:$D$21,4,0),0)</f>
        <v>3500</v>
      </c>
      <c r="P4" t="str">
        <f>IFERROR(INDEX(Customers!$C$2:$C$41,MATCH(C4,Customers!$A$2:$A$41,0)),"Unknown City")</f>
        <v>Pune</v>
      </c>
      <c r="Q4" s="22">
        <f>G4*O4*(1-H4)</f>
        <v>11900</v>
      </c>
      <c r="R4" t="str">
        <f t="shared" si="0"/>
        <v>Apr-2024</v>
      </c>
      <c r="S4" t="str">
        <f>IF(Q4&gt;=50000,"Large",IF(Q4&gt;=20000,"Medium","Small"))</f>
        <v>Small</v>
      </c>
      <c r="T4">
        <f>VLOOKUP(Q4,Commission!$A$2:$B$6,2,TRUE)</f>
        <v>0.03</v>
      </c>
      <c r="U4">
        <f>Q4*T4</f>
        <v>357</v>
      </c>
      <c r="V4" t="str">
        <f>IF(AND(I4="Pending",Q4&gt;20000),"Follow Up","OK")</f>
        <v>OK</v>
      </c>
      <c r="W4" t="str">
        <f>_xlfn.XLOOKUP(C4,Customers!$A$2:$A$41,Customers!$D$2:$D$41)</f>
        <v>Consumer</v>
      </c>
    </row>
    <row r="5" spans="1:23" x14ac:dyDescent="0.3">
      <c r="A5" s="9" t="s">
        <v>393</v>
      </c>
      <c r="B5" s="10">
        <v>45511</v>
      </c>
      <c r="C5" s="9" t="s">
        <v>184</v>
      </c>
      <c r="D5" s="9" t="s">
        <v>163</v>
      </c>
      <c r="E5" s="9" t="s">
        <v>171</v>
      </c>
      <c r="F5" s="9" t="s">
        <v>157</v>
      </c>
      <c r="G5" s="9">
        <v>4</v>
      </c>
      <c r="H5" s="11">
        <v>0.05</v>
      </c>
      <c r="I5" s="9" t="s">
        <v>126</v>
      </c>
      <c r="J5" t="str">
        <f>PROPER(TRIM(F5))</f>
        <v>Faisal Khan</v>
      </c>
      <c r="K5" t="str">
        <f>PROPER(TRIM(E5))</f>
        <v>South</v>
      </c>
      <c r="L5" t="str">
        <f>TRIM(D5)</f>
        <v>P117</v>
      </c>
      <c r="M5" t="str">
        <f>IFERROR(VLOOKUP(L5,Products!$A$2:$D$21,2,FALSE),"Unknown Product")</f>
        <v>T-Shirt Pack</v>
      </c>
      <c r="N5" t="str">
        <f>IFERROR(VLOOKUP(L5,Products!$A$2:$D$21,3,0),"Unknown ")</f>
        <v>Clothing</v>
      </c>
      <c r="O5">
        <f>IFERROR(VLOOKUP(L5,Products!$A$2:$D$21,4,0),0)</f>
        <v>1500</v>
      </c>
      <c r="P5" t="str">
        <f>IFERROR(INDEX(Customers!$C$2:$C$41,MATCH(C5,Customers!$A$2:$A$41,0)),"Unknown City")</f>
        <v>Mumbai</v>
      </c>
      <c r="Q5" s="22">
        <f>G5*O5*(1-H5)</f>
        <v>5700</v>
      </c>
      <c r="R5" t="str">
        <f t="shared" si="0"/>
        <v>Aug-2024</v>
      </c>
      <c r="S5" t="str">
        <f>IF(Q5&gt;=50000,"Large",IF(Q5&gt;=20000,"Medium","Small"))</f>
        <v>Small</v>
      </c>
      <c r="T5">
        <f>VLOOKUP(Q5,Commission!$A$2:$B$6,2,TRUE)</f>
        <v>0.02</v>
      </c>
      <c r="U5">
        <f>Q5*T5</f>
        <v>114</v>
      </c>
      <c r="V5" t="str">
        <f>IF(AND(I5="Pending",Q5&gt;20000),"Follow Up","OK")</f>
        <v>OK</v>
      </c>
      <c r="W5" t="str">
        <f>_xlfn.XLOOKUP(C5,Customers!$A$2:$A$41,Customers!$D$2:$D$41)</f>
        <v>Home Office</v>
      </c>
    </row>
    <row r="6" spans="1:23" x14ac:dyDescent="0.3">
      <c r="A6" s="9" t="s">
        <v>168</v>
      </c>
      <c r="B6" s="10">
        <v>45379</v>
      </c>
      <c r="C6" s="9" t="s">
        <v>169</v>
      </c>
      <c r="D6" s="9" t="s">
        <v>170</v>
      </c>
      <c r="E6" s="9" t="s">
        <v>171</v>
      </c>
      <c r="F6" s="9" t="s">
        <v>135</v>
      </c>
      <c r="G6" s="9">
        <v>1</v>
      </c>
      <c r="H6" s="11">
        <v>0</v>
      </c>
      <c r="I6" s="9" t="s">
        <v>126</v>
      </c>
      <c r="J6" t="str">
        <f>PROPER(TRIM(F6))</f>
        <v>Manoj Das</v>
      </c>
      <c r="K6" t="str">
        <f>PROPER(TRIM(E6))</f>
        <v>South</v>
      </c>
      <c r="L6" t="str">
        <f>TRIM(D6)</f>
        <v>P101</v>
      </c>
      <c r="M6" t="str">
        <f>IFERROR(VLOOKUP(L6,Products!$A$2:$D$21,2,FALSE),"Unknown Product")</f>
        <v>Laptop</v>
      </c>
      <c r="N6" t="str">
        <f>IFERROR(VLOOKUP(L6,Products!$A$2:$D$21,3,0),"Unknown ")</f>
        <v>Electronics</v>
      </c>
      <c r="O6">
        <f>IFERROR(VLOOKUP(L6,Products!$A$2:$D$21,4,0),0)</f>
        <v>55000</v>
      </c>
      <c r="P6" t="str">
        <f>IFERROR(INDEX(Customers!$C$2:$C$41,MATCH(C6,Customers!$A$2:$A$41,0)),"Unknown City")</f>
        <v>Bengaluru</v>
      </c>
      <c r="Q6" s="22">
        <f>G6*O6*(1-H6)</f>
        <v>55000</v>
      </c>
      <c r="R6" t="str">
        <f t="shared" si="0"/>
        <v>Mar-2024</v>
      </c>
      <c r="S6" t="str">
        <f>IF(Q6&gt;=50000,"Large",IF(Q6&gt;=20000,"Medium","Small"))</f>
        <v>Large</v>
      </c>
      <c r="T6">
        <f>VLOOKUP(Q6,Commission!$A$2:$B$6,2,TRUE)</f>
        <v>0.05</v>
      </c>
      <c r="U6">
        <f>Q6*T6</f>
        <v>2750</v>
      </c>
      <c r="V6" t="str">
        <f>IF(AND(I6="Pending",Q6&gt;20000),"Follow Up","OK")</f>
        <v>OK</v>
      </c>
      <c r="W6" t="str">
        <f>_xlfn.XLOOKUP(C6,Customers!$A$2:$A$41,Customers!$D$2:$D$41)</f>
        <v>Consumer</v>
      </c>
    </row>
    <row r="7" spans="1:23" x14ac:dyDescent="0.3">
      <c r="A7" s="9" t="s">
        <v>337</v>
      </c>
      <c r="B7" s="10">
        <v>45551</v>
      </c>
      <c r="C7" s="9" t="s">
        <v>181</v>
      </c>
      <c r="D7" s="9" t="s">
        <v>224</v>
      </c>
      <c r="E7" s="9" t="s">
        <v>171</v>
      </c>
      <c r="F7" s="9" t="s">
        <v>135</v>
      </c>
      <c r="G7" s="9">
        <v>1</v>
      </c>
      <c r="H7" s="11">
        <v>0.05</v>
      </c>
      <c r="I7" s="9" t="s">
        <v>126</v>
      </c>
      <c r="J7" t="str">
        <f>PROPER(TRIM(F7))</f>
        <v>Manoj Das</v>
      </c>
      <c r="K7" t="str">
        <f>PROPER(TRIM(E7))</f>
        <v>South</v>
      </c>
      <c r="L7" t="str">
        <f>TRIM(D7)</f>
        <v>P120</v>
      </c>
      <c r="M7" t="str">
        <f>IFERROR(VLOOKUP(L7,Products!$A$2:$D$21,2,FALSE),"Unknown Product")</f>
        <v>Printer Paper</v>
      </c>
      <c r="N7" t="str">
        <f>IFERROR(VLOOKUP(L7,Products!$A$2:$D$21,3,0),"Unknown ")</f>
        <v>Stationery</v>
      </c>
      <c r="O7">
        <f>IFERROR(VLOOKUP(L7,Products!$A$2:$D$21,4,0),0)</f>
        <v>620</v>
      </c>
      <c r="P7" t="str">
        <f>IFERROR(INDEX(Customers!$C$2:$C$41,MATCH(C7,Customers!$A$2:$A$41,0)),"Unknown City")</f>
        <v>Pune</v>
      </c>
      <c r="Q7" s="22">
        <f>G7*O7*(1-H7)</f>
        <v>589</v>
      </c>
      <c r="R7" t="str">
        <f t="shared" si="0"/>
        <v>Sep-2024</v>
      </c>
      <c r="S7" t="str">
        <f>IF(Q7&gt;=50000,"Large",IF(Q7&gt;=20000,"Medium","Small"))</f>
        <v>Small</v>
      </c>
      <c r="T7">
        <f>VLOOKUP(Q7,Commission!$A$2:$B$6,2,TRUE)</f>
        <v>0.02</v>
      </c>
      <c r="U7">
        <f>Q7*T7</f>
        <v>11.78</v>
      </c>
      <c r="V7" t="str">
        <f>IF(AND(I7="Pending",Q7&gt;20000),"Follow Up","OK")</f>
        <v>OK</v>
      </c>
      <c r="W7" t="str">
        <f>_xlfn.XLOOKUP(C7,Customers!$A$2:$A$41,Customers!$D$2:$D$41)</f>
        <v>Consumer</v>
      </c>
    </row>
    <row r="8" spans="1:23" x14ac:dyDescent="0.3">
      <c r="A8" s="9" t="s">
        <v>198</v>
      </c>
      <c r="B8" s="10">
        <v>45330</v>
      </c>
      <c r="C8" s="9" t="s">
        <v>199</v>
      </c>
      <c r="D8" s="9" t="s">
        <v>163</v>
      </c>
      <c r="E8" s="9" t="s">
        <v>200</v>
      </c>
      <c r="F8" s="9" t="s">
        <v>140</v>
      </c>
      <c r="G8" s="9">
        <v>8</v>
      </c>
      <c r="H8" s="11">
        <v>0</v>
      </c>
      <c r="I8" s="9" t="s">
        <v>165</v>
      </c>
      <c r="J8" t="str">
        <f>PROPER(TRIM(F8))</f>
        <v>Pooja Nair</v>
      </c>
      <c r="K8" t="str">
        <f>PROPER(TRIM(E8))</f>
        <v>West</v>
      </c>
      <c r="L8" t="str">
        <f>TRIM(D8)</f>
        <v>P117</v>
      </c>
      <c r="M8" t="str">
        <f>IFERROR(VLOOKUP(L8,Products!$A$2:$D$21,2,FALSE),"Unknown Product")</f>
        <v>T-Shirt Pack</v>
      </c>
      <c r="N8" t="str">
        <f>IFERROR(VLOOKUP(L8,Products!$A$2:$D$21,3,0),"Unknown ")</f>
        <v>Clothing</v>
      </c>
      <c r="O8">
        <f>IFERROR(VLOOKUP(L8,Products!$A$2:$D$21,4,0),0)</f>
        <v>1500</v>
      </c>
      <c r="P8" t="str">
        <f>IFERROR(INDEX(Customers!$C$2:$C$41,MATCH(C8,Customers!$A$2:$A$41,0)),"Unknown City")</f>
        <v>Delhi</v>
      </c>
      <c r="Q8" s="22">
        <f>G8*O8*(1-H8)</f>
        <v>12000</v>
      </c>
      <c r="R8" t="str">
        <f t="shared" si="0"/>
        <v>Feb-2024</v>
      </c>
      <c r="S8" t="str">
        <f>IF(Q8&gt;=50000,"Large",IF(Q8&gt;=20000,"Medium","Small"))</f>
        <v>Small</v>
      </c>
      <c r="T8">
        <f>VLOOKUP(Q8,Commission!$A$2:$B$6,2,TRUE)</f>
        <v>0.03</v>
      </c>
      <c r="U8">
        <f>Q8*T8</f>
        <v>360</v>
      </c>
      <c r="V8" t="str">
        <f>IF(AND(I8="Pending",Q8&gt;20000),"Follow Up","OK")</f>
        <v>OK</v>
      </c>
      <c r="W8" t="str">
        <f>_xlfn.XLOOKUP(C8,Customers!$A$2:$A$41,Customers!$D$2:$D$41)</f>
        <v>Consumer</v>
      </c>
    </row>
    <row r="9" spans="1:23" x14ac:dyDescent="0.3">
      <c r="A9" s="9" t="s">
        <v>121</v>
      </c>
      <c r="B9" s="10">
        <v>45306</v>
      </c>
      <c r="C9" s="9" t="s">
        <v>122</v>
      </c>
      <c r="D9" s="9" t="s">
        <v>123</v>
      </c>
      <c r="E9" s="9" t="s">
        <v>124</v>
      </c>
      <c r="F9" s="9" t="s">
        <v>125</v>
      </c>
      <c r="G9" s="9">
        <v>10</v>
      </c>
      <c r="H9" s="11">
        <v>0</v>
      </c>
      <c r="I9" s="9" t="s">
        <v>126</v>
      </c>
      <c r="J9" t="str">
        <f>PROPER(TRIM(F9))</f>
        <v>Pooja Nair</v>
      </c>
      <c r="K9" t="str">
        <f>PROPER(TRIM(E9))</f>
        <v>East</v>
      </c>
      <c r="L9" t="str">
        <f>TRIM(D9)</f>
        <v>P107</v>
      </c>
      <c r="M9" t="str">
        <f>IFERROR(VLOOKUP(L9,Products!$A$2:$D$21,2,FALSE),"Unknown Product")</f>
        <v>Standing Desk</v>
      </c>
      <c r="N9" t="str">
        <f>IFERROR(VLOOKUP(L9,Products!$A$2:$D$21,3,0),"Unknown ")</f>
        <v>Furniture</v>
      </c>
      <c r="O9">
        <f>IFERROR(VLOOKUP(L9,Products!$A$2:$D$21,4,0),0)</f>
        <v>18000</v>
      </c>
      <c r="P9" t="str">
        <f>IFERROR(INDEX(Customers!$C$2:$C$41,MATCH(C9,Customers!$A$2:$A$41,0)),"Unknown City")</f>
        <v>Pune</v>
      </c>
      <c r="Q9" s="22">
        <f>G9*O9*(1-H9)</f>
        <v>180000</v>
      </c>
      <c r="R9" t="str">
        <f t="shared" si="0"/>
        <v>Jan-2024</v>
      </c>
      <c r="S9" t="str">
        <f>IF(Q9&gt;=50000,"Large",IF(Q9&gt;=20000,"Medium","Small"))</f>
        <v>Large</v>
      </c>
      <c r="T9">
        <f>VLOOKUP(Q9,Commission!$A$2:$B$6,2,TRUE)</f>
        <v>0.06</v>
      </c>
      <c r="U9">
        <f>Q9*T9</f>
        <v>10800</v>
      </c>
      <c r="V9" t="str">
        <f>IF(AND(I9="Pending",Q9&gt;20000),"Follow Up","OK")</f>
        <v>OK</v>
      </c>
      <c r="W9" t="str">
        <f>_xlfn.XLOOKUP(C9,Customers!$A$2:$A$41,Customers!$D$2:$D$41)</f>
        <v>Corporate</v>
      </c>
    </row>
    <row r="10" spans="1:23" x14ac:dyDescent="0.3">
      <c r="A10" s="9" t="s">
        <v>425</v>
      </c>
      <c r="B10" s="10">
        <v>45377</v>
      </c>
      <c r="C10" s="9" t="s">
        <v>286</v>
      </c>
      <c r="D10" s="9" t="s">
        <v>192</v>
      </c>
      <c r="E10" s="9" t="s">
        <v>124</v>
      </c>
      <c r="F10" s="9" t="s">
        <v>140</v>
      </c>
      <c r="G10" s="9">
        <v>10</v>
      </c>
      <c r="H10" s="11">
        <v>0</v>
      </c>
      <c r="I10" s="9" t="s">
        <v>126</v>
      </c>
      <c r="J10" t="str">
        <f>PROPER(TRIM(F10))</f>
        <v>Pooja Nair</v>
      </c>
      <c r="K10" t="str">
        <f>PROPER(TRIM(E10))</f>
        <v>East</v>
      </c>
      <c r="L10" t="str">
        <f>TRIM(D10)</f>
        <v>P108</v>
      </c>
      <c r="M10" t="str">
        <f>IFERROR(VLOOKUP(L10,Products!$A$2:$D$21,2,FALSE),"Unknown Product")</f>
        <v>Bookshelf</v>
      </c>
      <c r="N10" t="str">
        <f>IFERROR(VLOOKUP(L10,Products!$A$2:$D$21,3,0),"Unknown ")</f>
        <v>Furniture</v>
      </c>
      <c r="O10">
        <f>IFERROR(VLOOKUP(L10,Products!$A$2:$D$21,4,0),0)</f>
        <v>6200</v>
      </c>
      <c r="P10" t="str">
        <f>IFERROR(INDEX(Customers!$C$2:$C$41,MATCH(C10,Customers!$A$2:$A$41,0)),"Unknown City")</f>
        <v>Hyderabad</v>
      </c>
      <c r="Q10" s="22">
        <f>G10*O10*(1-H10)</f>
        <v>62000</v>
      </c>
      <c r="R10" t="str">
        <f t="shared" si="0"/>
        <v>Mar-2024</v>
      </c>
      <c r="S10" t="str">
        <f>IF(Q10&gt;=50000,"Large",IF(Q10&gt;=20000,"Medium","Small"))</f>
        <v>Large</v>
      </c>
      <c r="T10">
        <f>VLOOKUP(Q10,Commission!$A$2:$B$6,2,TRUE)</f>
        <v>0.05</v>
      </c>
      <c r="U10">
        <f>Q10*T10</f>
        <v>3100</v>
      </c>
      <c r="V10" t="str">
        <f>IF(AND(I10="Pending",Q10&gt;20000),"Follow Up","OK")</f>
        <v>OK</v>
      </c>
      <c r="W10" t="str">
        <f>_xlfn.XLOOKUP(C10,Customers!$A$2:$A$41,Customers!$D$2:$D$41)</f>
        <v>Corporate</v>
      </c>
    </row>
    <row r="11" spans="1:23" x14ac:dyDescent="0.3">
      <c r="A11" s="9" t="s">
        <v>323</v>
      </c>
      <c r="B11" s="10">
        <v>45429</v>
      </c>
      <c r="C11" s="9" t="s">
        <v>208</v>
      </c>
      <c r="D11" s="9" t="s">
        <v>185</v>
      </c>
      <c r="E11" s="9" t="s">
        <v>124</v>
      </c>
      <c r="F11" s="9" t="s">
        <v>206</v>
      </c>
      <c r="G11" s="9">
        <v>10</v>
      </c>
      <c r="H11" s="11">
        <v>0</v>
      </c>
      <c r="I11" s="9" t="s">
        <v>126</v>
      </c>
      <c r="J11" t="str">
        <f>PROPER(TRIM(F11))</f>
        <v>Sunita Rao</v>
      </c>
      <c r="K11" t="str">
        <f>PROPER(TRIM(E11))</f>
        <v>East</v>
      </c>
      <c r="L11" t="str">
        <f>TRIM(D11)</f>
        <v>P103</v>
      </c>
      <c r="M11" t="str">
        <f>IFERROR(VLOOKUP(L11,Products!$A$2:$D$21,2,FALSE),"Unknown Product")</f>
        <v>Headphones</v>
      </c>
      <c r="N11" t="str">
        <f>IFERROR(VLOOKUP(L11,Products!$A$2:$D$21,3,0),"Unknown ")</f>
        <v>Electronics</v>
      </c>
      <c r="O11">
        <f>IFERROR(VLOOKUP(L11,Products!$A$2:$D$21,4,0),0)</f>
        <v>3500</v>
      </c>
      <c r="P11" t="str">
        <f>IFERROR(INDEX(Customers!$C$2:$C$41,MATCH(C11,Customers!$A$2:$A$41,0)),"Unknown City")</f>
        <v>Pune</v>
      </c>
      <c r="Q11" s="22">
        <f>G11*O11*(1-H11)</f>
        <v>35000</v>
      </c>
      <c r="R11" t="str">
        <f t="shared" si="0"/>
        <v>May-2024</v>
      </c>
      <c r="S11" t="str">
        <f>IF(Q11&gt;=50000,"Large",IF(Q11&gt;=20000,"Medium","Small"))</f>
        <v>Medium</v>
      </c>
      <c r="T11">
        <f>VLOOKUP(Q11,Commission!$A$2:$B$6,2,TRUE)</f>
        <v>0.04</v>
      </c>
      <c r="U11">
        <f>Q11*T11</f>
        <v>1400</v>
      </c>
      <c r="V11" t="str">
        <f>IF(AND(I11="Pending",Q11&gt;20000),"Follow Up","OK")</f>
        <v>OK</v>
      </c>
      <c r="W11" t="str">
        <f>_xlfn.XLOOKUP(C11,Customers!$A$2:$A$41,Customers!$D$2:$D$41)</f>
        <v>Home Office</v>
      </c>
    </row>
    <row r="12" spans="1:23" x14ac:dyDescent="0.3">
      <c r="A12" s="9" t="s">
        <v>284</v>
      </c>
      <c r="B12" s="10">
        <v>45567</v>
      </c>
      <c r="C12" s="9" t="s">
        <v>264</v>
      </c>
      <c r="D12" s="9" t="s">
        <v>151</v>
      </c>
      <c r="E12" s="9" t="s">
        <v>124</v>
      </c>
      <c r="F12" s="9" t="s">
        <v>135</v>
      </c>
      <c r="G12" s="9">
        <v>10</v>
      </c>
      <c r="H12" s="11">
        <v>0</v>
      </c>
      <c r="I12" s="9" t="s">
        <v>126</v>
      </c>
      <c r="J12" t="str">
        <f>PROPER(TRIM(F12))</f>
        <v>Manoj Das</v>
      </c>
      <c r="K12" t="str">
        <f>PROPER(TRIM(E12))</f>
        <v>East</v>
      </c>
      <c r="L12" t="str">
        <f>TRIM(D12)</f>
        <v>P110</v>
      </c>
      <c r="M12" t="str">
        <f>IFERROR(VLOOKUP(L12,Products!$A$2:$D$21,2,FALSE),"Unknown Product")</f>
        <v>Coffee Beans</v>
      </c>
      <c r="N12" t="str">
        <f>IFERROR(VLOOKUP(L12,Products!$A$2:$D$21,3,0),"Unknown ")</f>
        <v>Grocery</v>
      </c>
      <c r="O12">
        <f>IFERROR(VLOOKUP(L12,Products!$A$2:$D$21,4,0),0)</f>
        <v>650</v>
      </c>
      <c r="P12" t="str">
        <f>IFERROR(INDEX(Customers!$C$2:$C$41,MATCH(C12,Customers!$A$2:$A$41,0)),"Unknown City")</f>
        <v>Bengaluru</v>
      </c>
      <c r="Q12" s="22">
        <f>G12*O12*(1-H12)</f>
        <v>6500</v>
      </c>
      <c r="R12" t="str">
        <f t="shared" si="0"/>
        <v>Oct-2024</v>
      </c>
      <c r="S12" t="str">
        <f>IF(Q12&gt;=50000,"Large",IF(Q12&gt;=20000,"Medium","Small"))</f>
        <v>Small</v>
      </c>
      <c r="T12">
        <f>VLOOKUP(Q12,Commission!$A$2:$B$6,2,TRUE)</f>
        <v>0.02</v>
      </c>
      <c r="U12">
        <f>Q12*T12</f>
        <v>130</v>
      </c>
      <c r="V12" t="str">
        <f>IF(AND(I12="Pending",Q12&gt;20000),"Follow Up","OK")</f>
        <v>OK</v>
      </c>
      <c r="W12" t="str">
        <f>_xlfn.XLOOKUP(C12,Customers!$A$2:$A$41,Customers!$D$2:$D$41)</f>
        <v>Home Office</v>
      </c>
    </row>
    <row r="13" spans="1:23" x14ac:dyDescent="0.3">
      <c r="A13" s="9" t="s">
        <v>334</v>
      </c>
      <c r="B13" s="10">
        <v>45426</v>
      </c>
      <c r="C13" s="9" t="s">
        <v>271</v>
      </c>
      <c r="D13" s="9" t="s">
        <v>335</v>
      </c>
      <c r="E13" s="9" t="s">
        <v>124</v>
      </c>
      <c r="F13" s="9" t="s">
        <v>164</v>
      </c>
      <c r="G13" s="9">
        <v>10</v>
      </c>
      <c r="H13" s="11">
        <v>0.15</v>
      </c>
      <c r="I13" s="9" t="s">
        <v>126</v>
      </c>
      <c r="J13" t="str">
        <f>PROPER(TRIM(F13))</f>
        <v>Amit Verma</v>
      </c>
      <c r="K13" t="str">
        <f>PROPER(TRIM(E13))</f>
        <v>East</v>
      </c>
      <c r="L13" t="str">
        <f>TRIM(D13)</f>
        <v>P998</v>
      </c>
      <c r="M13" t="str">
        <f>IFERROR(VLOOKUP(L13,Products!$A$2:$D$21,2,FALSE),"Unknown Product")</f>
        <v>Unknown Product</v>
      </c>
      <c r="N13" t="str">
        <f>IFERROR(VLOOKUP(L13,Products!$A$2:$D$21,3,0),"Unknown ")</f>
        <v xml:space="preserve">Unknown </v>
      </c>
      <c r="O13">
        <f>IFERROR(VLOOKUP(L13,Products!$A$2:$D$21,4,0),0)</f>
        <v>0</v>
      </c>
      <c r="P13" t="str">
        <f>IFERROR(INDEX(Customers!$C$2:$C$41,MATCH(C13,Customers!$A$2:$A$41,0)),"Unknown City")</f>
        <v>Chennai</v>
      </c>
      <c r="Q13" s="22">
        <f>G13*O13*(1-H13)</f>
        <v>0</v>
      </c>
      <c r="R13" t="str">
        <f t="shared" si="0"/>
        <v>May-2024</v>
      </c>
      <c r="S13" t="str">
        <f>IF(Q13&gt;=50000,"Large",IF(Q13&gt;=20000,"Medium","Small"))</f>
        <v>Small</v>
      </c>
      <c r="T13">
        <f>VLOOKUP(Q13,Commission!$A$2:$B$6,2,TRUE)</f>
        <v>0.02</v>
      </c>
      <c r="U13">
        <f>Q13*T13</f>
        <v>0</v>
      </c>
      <c r="V13" t="str">
        <f>IF(AND(I13="Pending",Q13&gt;20000),"Follow Up","OK")</f>
        <v>OK</v>
      </c>
      <c r="W13" t="str">
        <f>_xlfn.XLOOKUP(C13,Customers!$A$2:$A$41,Customers!$D$2:$D$41)</f>
        <v>Corporate</v>
      </c>
    </row>
    <row r="14" spans="1:23" x14ac:dyDescent="0.3">
      <c r="A14" s="9" t="s">
        <v>375</v>
      </c>
      <c r="B14" s="10">
        <v>45323</v>
      </c>
      <c r="C14" s="9" t="s">
        <v>360</v>
      </c>
      <c r="D14" s="9" t="s">
        <v>261</v>
      </c>
      <c r="E14" s="9" t="s">
        <v>124</v>
      </c>
      <c r="F14" s="9" t="s">
        <v>154</v>
      </c>
      <c r="G14" s="9">
        <v>9</v>
      </c>
      <c r="H14" s="11">
        <v>0.1</v>
      </c>
      <c r="I14" s="9" t="s">
        <v>126</v>
      </c>
      <c r="J14" t="str">
        <f>PROPER(TRIM(F14))</f>
        <v>Kiran Shah</v>
      </c>
      <c r="K14" t="str">
        <f>PROPER(TRIM(E14))</f>
        <v>East</v>
      </c>
      <c r="L14" t="str">
        <f>TRIM(D14)</f>
        <v>P109</v>
      </c>
      <c r="M14" t="str">
        <f>IFERROR(VLOOKUP(L14,Products!$A$2:$D$21,2,FALSE),"Unknown Product")</f>
        <v>Sofa Set</v>
      </c>
      <c r="N14" t="str">
        <f>IFERROR(VLOOKUP(L14,Products!$A$2:$D$21,3,0),"Unknown ")</f>
        <v>Furniture</v>
      </c>
      <c r="O14">
        <f>IFERROR(VLOOKUP(L14,Products!$A$2:$D$21,4,0),0)</f>
        <v>42000</v>
      </c>
      <c r="P14" t="str">
        <f>IFERROR(INDEX(Customers!$C$2:$C$41,MATCH(C14,Customers!$A$2:$A$41,0)),"Unknown City")</f>
        <v>Kolkata</v>
      </c>
      <c r="Q14" s="22">
        <f>G14*O14*(1-H14)</f>
        <v>340200</v>
      </c>
      <c r="R14" t="str">
        <f t="shared" si="0"/>
        <v>Feb-2024</v>
      </c>
      <c r="S14" t="str">
        <f>IF(Q14&gt;=50000,"Large",IF(Q14&gt;=20000,"Medium","Small"))</f>
        <v>Large</v>
      </c>
      <c r="T14">
        <f>VLOOKUP(Q14,Commission!$A$2:$B$6,2,TRUE)</f>
        <v>0.06</v>
      </c>
      <c r="U14">
        <f>Q14*T14</f>
        <v>20412</v>
      </c>
      <c r="V14" t="str">
        <f>IF(AND(I14="Pending",Q14&gt;20000),"Follow Up","OK")</f>
        <v>OK</v>
      </c>
      <c r="W14" t="str">
        <f>_xlfn.XLOOKUP(C14,Customers!$A$2:$A$41,Customers!$D$2:$D$41)</f>
        <v>Corporate</v>
      </c>
    </row>
    <row r="15" spans="1:23" x14ac:dyDescent="0.3">
      <c r="A15" s="9" t="s">
        <v>241</v>
      </c>
      <c r="B15" s="10">
        <v>45647</v>
      </c>
      <c r="C15" s="9" t="s">
        <v>122</v>
      </c>
      <c r="D15" s="9" t="s">
        <v>242</v>
      </c>
      <c r="E15" s="9" t="s">
        <v>124</v>
      </c>
      <c r="F15" s="9" t="s">
        <v>243</v>
      </c>
      <c r="G15" s="9">
        <v>9</v>
      </c>
      <c r="H15" s="11">
        <v>0</v>
      </c>
      <c r="I15" s="9" t="s">
        <v>126</v>
      </c>
      <c r="J15" t="str">
        <f>PROPER(TRIM(F15))</f>
        <v>Faisal Khan</v>
      </c>
      <c r="K15" t="str">
        <f>PROPER(TRIM(E15))</f>
        <v>East</v>
      </c>
      <c r="L15" t="str">
        <f>TRIM(D15)</f>
        <v>P102</v>
      </c>
      <c r="M15" t="str">
        <f>IFERROR(VLOOKUP(L15,Products!$A$2:$D$21,2,FALSE),"Unknown Product")</f>
        <v>Smartphone</v>
      </c>
      <c r="N15" t="str">
        <f>IFERROR(VLOOKUP(L15,Products!$A$2:$D$21,3,0),"Unknown ")</f>
        <v>Electronics</v>
      </c>
      <c r="O15">
        <f>IFERROR(VLOOKUP(L15,Products!$A$2:$D$21,4,0),0)</f>
        <v>28000</v>
      </c>
      <c r="P15" t="str">
        <f>IFERROR(INDEX(Customers!$C$2:$C$41,MATCH(C15,Customers!$A$2:$A$41,0)),"Unknown City")</f>
        <v>Pune</v>
      </c>
      <c r="Q15" s="22">
        <f>G15*O15*(1-H15)</f>
        <v>252000</v>
      </c>
      <c r="R15" t="str">
        <f t="shared" si="0"/>
        <v>Dec-2024</v>
      </c>
      <c r="S15" t="str">
        <f>IF(Q15&gt;=50000,"Large",IF(Q15&gt;=20000,"Medium","Small"))</f>
        <v>Large</v>
      </c>
      <c r="T15">
        <f>VLOOKUP(Q15,Commission!$A$2:$B$6,2,TRUE)</f>
        <v>0.06</v>
      </c>
      <c r="U15">
        <f>Q15*T15</f>
        <v>15120</v>
      </c>
      <c r="V15" t="str">
        <f>IF(AND(I15="Pending",Q15&gt;20000),"Follow Up","OK")</f>
        <v>OK</v>
      </c>
      <c r="W15" t="str">
        <f>_xlfn.XLOOKUP(C15,Customers!$A$2:$A$41,Customers!$D$2:$D$41)</f>
        <v>Corporate</v>
      </c>
    </row>
    <row r="16" spans="1:23" x14ac:dyDescent="0.3">
      <c r="A16" s="9" t="s">
        <v>399</v>
      </c>
      <c r="B16" s="10">
        <v>45617</v>
      </c>
      <c r="C16" s="9" t="s">
        <v>215</v>
      </c>
      <c r="D16" s="9" t="s">
        <v>192</v>
      </c>
      <c r="E16" s="9" t="s">
        <v>124</v>
      </c>
      <c r="F16" s="9" t="s">
        <v>157</v>
      </c>
      <c r="G16" s="9">
        <v>9</v>
      </c>
      <c r="H16" s="11">
        <v>0</v>
      </c>
      <c r="I16" s="9" t="s">
        <v>126</v>
      </c>
      <c r="J16" t="str">
        <f>PROPER(TRIM(F16))</f>
        <v>Faisal Khan</v>
      </c>
      <c r="K16" t="str">
        <f>PROPER(TRIM(E16))</f>
        <v>East</v>
      </c>
      <c r="L16" t="str">
        <f>TRIM(D16)</f>
        <v>P108</v>
      </c>
      <c r="M16" t="str">
        <f>IFERROR(VLOOKUP(L16,Products!$A$2:$D$21,2,FALSE),"Unknown Product")</f>
        <v>Bookshelf</v>
      </c>
      <c r="N16" t="str">
        <f>IFERROR(VLOOKUP(L16,Products!$A$2:$D$21,3,0),"Unknown ")</f>
        <v>Furniture</v>
      </c>
      <c r="O16">
        <f>IFERROR(VLOOKUP(L16,Products!$A$2:$D$21,4,0),0)</f>
        <v>6200</v>
      </c>
      <c r="P16" t="str">
        <f>IFERROR(INDEX(Customers!$C$2:$C$41,MATCH(C16,Customers!$A$2:$A$41,0)),"Unknown City")</f>
        <v>Pune</v>
      </c>
      <c r="Q16" s="22">
        <f>G16*O16*(1-H16)</f>
        <v>55800</v>
      </c>
      <c r="R16" t="str">
        <f t="shared" si="0"/>
        <v>Nov-2024</v>
      </c>
      <c r="S16" t="str">
        <f>IF(Q16&gt;=50000,"Large",IF(Q16&gt;=20000,"Medium","Small"))</f>
        <v>Large</v>
      </c>
      <c r="T16">
        <f>VLOOKUP(Q16,Commission!$A$2:$B$6,2,TRUE)</f>
        <v>0.05</v>
      </c>
      <c r="U16">
        <f>Q16*T16</f>
        <v>2790</v>
      </c>
      <c r="V16" t="str">
        <f>IF(AND(I16="Pending",Q16&gt;20000),"Follow Up","OK")</f>
        <v>OK</v>
      </c>
      <c r="W16" t="str">
        <f>_xlfn.XLOOKUP(C16,Customers!$A$2:$A$41,Customers!$D$2:$D$41)</f>
        <v>Consumer</v>
      </c>
    </row>
    <row r="17" spans="1:23" x14ac:dyDescent="0.3">
      <c r="A17" s="9" t="s">
        <v>210</v>
      </c>
      <c r="B17" s="10">
        <v>45652</v>
      </c>
      <c r="C17" s="9" t="s">
        <v>208</v>
      </c>
      <c r="D17" s="9" t="s">
        <v>138</v>
      </c>
      <c r="E17" s="9" t="s">
        <v>124</v>
      </c>
      <c r="F17" s="9" t="s">
        <v>135</v>
      </c>
      <c r="G17" s="9">
        <v>9</v>
      </c>
      <c r="H17" s="11">
        <v>0</v>
      </c>
      <c r="I17" s="9" t="s">
        <v>126</v>
      </c>
      <c r="J17" t="str">
        <f>PROPER(TRIM(F17))</f>
        <v>Manoj Das</v>
      </c>
      <c r="K17" t="str">
        <f>PROPER(TRIM(E17))</f>
        <v>East</v>
      </c>
      <c r="L17" t="str">
        <f>TRIM(D17)</f>
        <v>P113</v>
      </c>
      <c r="M17" t="str">
        <f>IFERROR(VLOOKUP(L17,Products!$A$2:$D$21,2,FALSE),"Unknown Product")</f>
        <v>Protein Bar Box</v>
      </c>
      <c r="N17" t="str">
        <f>IFERROR(VLOOKUP(L17,Products!$A$2:$D$21,3,0),"Unknown ")</f>
        <v>Grocery</v>
      </c>
      <c r="O17">
        <f>IFERROR(VLOOKUP(L17,Products!$A$2:$D$21,4,0),0)</f>
        <v>1200</v>
      </c>
      <c r="P17" t="str">
        <f>IFERROR(INDEX(Customers!$C$2:$C$41,MATCH(C17,Customers!$A$2:$A$41,0)),"Unknown City")</f>
        <v>Pune</v>
      </c>
      <c r="Q17" s="22">
        <f>G17*O17*(1-H17)</f>
        <v>10800</v>
      </c>
      <c r="R17" t="str">
        <f t="shared" si="0"/>
        <v>Dec-2024</v>
      </c>
      <c r="S17" t="str">
        <f>IF(Q17&gt;=50000,"Large",IF(Q17&gt;=20000,"Medium","Small"))</f>
        <v>Small</v>
      </c>
      <c r="T17">
        <f>VLOOKUP(Q17,Commission!$A$2:$B$6,2,TRUE)</f>
        <v>0.03</v>
      </c>
      <c r="U17">
        <f>Q17*T17</f>
        <v>324</v>
      </c>
      <c r="V17" t="str">
        <f>IF(AND(I17="Pending",Q17&gt;20000),"Follow Up","OK")</f>
        <v>OK</v>
      </c>
      <c r="W17" t="str">
        <f>_xlfn.XLOOKUP(C17,Customers!$A$2:$A$41,Customers!$D$2:$D$41)</f>
        <v>Home Office</v>
      </c>
    </row>
    <row r="18" spans="1:23" x14ac:dyDescent="0.3">
      <c r="A18" s="9" t="s">
        <v>316</v>
      </c>
      <c r="B18" s="10">
        <v>45506</v>
      </c>
      <c r="C18" s="9" t="s">
        <v>184</v>
      </c>
      <c r="D18" s="9" t="s">
        <v>174</v>
      </c>
      <c r="E18" s="9" t="s">
        <v>124</v>
      </c>
      <c r="F18" s="9" t="s">
        <v>154</v>
      </c>
      <c r="G18" s="9">
        <v>9</v>
      </c>
      <c r="H18" s="11">
        <v>0.1</v>
      </c>
      <c r="I18" s="9" t="s">
        <v>126</v>
      </c>
      <c r="J18" t="str">
        <f>PROPER(TRIM(F18))</f>
        <v>Kiran Shah</v>
      </c>
      <c r="K18" t="str">
        <f>PROPER(TRIM(E18))</f>
        <v>East</v>
      </c>
      <c r="L18" t="str">
        <f>TRIM(D18)</f>
        <v>P112</v>
      </c>
      <c r="M18" t="str">
        <f>IFERROR(VLOOKUP(L18,Products!$A$2:$D$21,2,FALSE),"Unknown Product")</f>
        <v>Olive Oil</v>
      </c>
      <c r="N18" t="str">
        <f>IFERROR(VLOOKUP(L18,Products!$A$2:$D$21,3,0),"Unknown ")</f>
        <v>Grocery</v>
      </c>
      <c r="O18">
        <f>IFERROR(VLOOKUP(L18,Products!$A$2:$D$21,4,0),0)</f>
        <v>980</v>
      </c>
      <c r="P18" t="str">
        <f>IFERROR(INDEX(Customers!$C$2:$C$41,MATCH(C18,Customers!$A$2:$A$41,0)),"Unknown City")</f>
        <v>Mumbai</v>
      </c>
      <c r="Q18" s="22">
        <f>G18*O18*(1-H18)</f>
        <v>7938</v>
      </c>
      <c r="R18" t="str">
        <f t="shared" si="0"/>
        <v>Aug-2024</v>
      </c>
      <c r="S18" t="str">
        <f>IF(Q18&gt;=50000,"Large",IF(Q18&gt;=20000,"Medium","Small"))</f>
        <v>Small</v>
      </c>
      <c r="T18">
        <f>VLOOKUP(Q18,Commission!$A$2:$B$6,2,TRUE)</f>
        <v>0.02</v>
      </c>
      <c r="U18">
        <f>Q18*T18</f>
        <v>158.76</v>
      </c>
      <c r="V18" t="str">
        <f>IF(AND(I18="Pending",Q18&gt;20000),"Follow Up","OK")</f>
        <v>OK</v>
      </c>
      <c r="W18" t="str">
        <f>_xlfn.XLOOKUP(C18,Customers!$A$2:$A$41,Customers!$D$2:$D$41)</f>
        <v>Home Office</v>
      </c>
    </row>
    <row r="19" spans="1:23" x14ac:dyDescent="0.3">
      <c r="A19" s="9" t="s">
        <v>258</v>
      </c>
      <c r="B19" s="10">
        <v>45536</v>
      </c>
      <c r="C19" s="9" t="s">
        <v>128</v>
      </c>
      <c r="D19" s="9" t="s">
        <v>192</v>
      </c>
      <c r="E19" s="9" t="s">
        <v>124</v>
      </c>
      <c r="F19" s="9" t="s">
        <v>140</v>
      </c>
      <c r="G19" s="9">
        <v>8</v>
      </c>
      <c r="H19" s="11">
        <v>0</v>
      </c>
      <c r="I19" s="9" t="s">
        <v>165</v>
      </c>
      <c r="J19" t="str">
        <f>PROPER(TRIM(F19))</f>
        <v>Pooja Nair</v>
      </c>
      <c r="K19" t="str">
        <f>PROPER(TRIM(E19))</f>
        <v>East</v>
      </c>
      <c r="L19" t="str">
        <f>TRIM(D19)</f>
        <v>P108</v>
      </c>
      <c r="M19" t="str">
        <f>IFERROR(VLOOKUP(L19,Products!$A$2:$D$21,2,FALSE),"Unknown Product")</f>
        <v>Bookshelf</v>
      </c>
      <c r="N19" t="str">
        <f>IFERROR(VLOOKUP(L19,Products!$A$2:$D$21,3,0),"Unknown ")</f>
        <v>Furniture</v>
      </c>
      <c r="O19">
        <f>IFERROR(VLOOKUP(L19,Products!$A$2:$D$21,4,0),0)</f>
        <v>6200</v>
      </c>
      <c r="P19" t="str">
        <f>IFERROR(INDEX(Customers!$C$2:$C$41,MATCH(C19,Customers!$A$2:$A$41,0)),"Unknown City")</f>
        <v>Delhi</v>
      </c>
      <c r="Q19" s="22">
        <f>G19*O19*(1-H19)</f>
        <v>49600</v>
      </c>
      <c r="R19" t="str">
        <f t="shared" si="0"/>
        <v>Sep-2024</v>
      </c>
      <c r="S19" t="str">
        <f>IF(Q19&gt;=50000,"Large",IF(Q19&gt;=20000,"Medium","Small"))</f>
        <v>Medium</v>
      </c>
      <c r="T19">
        <f>VLOOKUP(Q19,Commission!$A$2:$B$6,2,TRUE)</f>
        <v>0.04</v>
      </c>
      <c r="U19">
        <f>Q19*T19</f>
        <v>1984</v>
      </c>
      <c r="V19" t="str">
        <f>IF(AND(I19="Pending",Q19&gt;20000),"Follow Up","OK")</f>
        <v>Follow Up</v>
      </c>
      <c r="W19" t="str">
        <f>_xlfn.XLOOKUP(C19,Customers!$A$2:$A$41,Customers!$D$2:$D$41)</f>
        <v>Consumer</v>
      </c>
    </row>
    <row r="20" spans="1:23" x14ac:dyDescent="0.3">
      <c r="A20" s="9" t="s">
        <v>356</v>
      </c>
      <c r="B20" s="10">
        <v>45371</v>
      </c>
      <c r="C20" s="9" t="s">
        <v>357</v>
      </c>
      <c r="D20" s="9" t="s">
        <v>129</v>
      </c>
      <c r="E20" s="9" t="s">
        <v>124</v>
      </c>
      <c r="F20" s="9" t="s">
        <v>154</v>
      </c>
      <c r="G20" s="9">
        <v>8</v>
      </c>
      <c r="H20" s="11">
        <v>0.05</v>
      </c>
      <c r="I20" s="9" t="s">
        <v>126</v>
      </c>
      <c r="J20" t="str">
        <f>PROPER(TRIM(F20))</f>
        <v>Kiran Shah</v>
      </c>
      <c r="K20" t="str">
        <f>PROPER(TRIM(E20))</f>
        <v>East</v>
      </c>
      <c r="L20" t="str">
        <f>TRIM(D20)</f>
        <v>P118</v>
      </c>
      <c r="M20" t="str">
        <f>IFERROR(VLOOKUP(L20,Products!$A$2:$D$21,2,FALSE),"Unknown Product")</f>
        <v>Jeans</v>
      </c>
      <c r="N20" t="str">
        <f>IFERROR(VLOOKUP(L20,Products!$A$2:$D$21,3,0),"Unknown ")</f>
        <v>Clothing</v>
      </c>
      <c r="O20">
        <f>IFERROR(VLOOKUP(L20,Products!$A$2:$D$21,4,0),0)</f>
        <v>2800</v>
      </c>
      <c r="P20" t="str">
        <f>IFERROR(INDEX(Customers!$C$2:$C$41,MATCH(C20,Customers!$A$2:$A$41,0)),"Unknown City")</f>
        <v>Kolkata</v>
      </c>
      <c r="Q20" s="22">
        <f>G20*O20*(1-H20)</f>
        <v>21280</v>
      </c>
      <c r="R20" t="str">
        <f t="shared" si="0"/>
        <v>Mar-2024</v>
      </c>
      <c r="S20" t="str">
        <f>IF(Q20&gt;=50000,"Large",IF(Q20&gt;=20000,"Medium","Small"))</f>
        <v>Medium</v>
      </c>
      <c r="T20">
        <f>VLOOKUP(Q20,Commission!$A$2:$B$6,2,TRUE)</f>
        <v>0.03</v>
      </c>
      <c r="U20">
        <f>Q20*T20</f>
        <v>638.4</v>
      </c>
      <c r="V20" t="str">
        <f>IF(AND(I20="Pending",Q20&gt;20000),"Follow Up","OK")</f>
        <v>OK</v>
      </c>
      <c r="W20" t="str">
        <f>_xlfn.XLOOKUP(C20,Customers!$A$2:$A$41,Customers!$D$2:$D$41)</f>
        <v>Home Office</v>
      </c>
    </row>
    <row r="21" spans="1:23" x14ac:dyDescent="0.3">
      <c r="A21" s="9" t="s">
        <v>279</v>
      </c>
      <c r="B21" s="10">
        <v>45637</v>
      </c>
      <c r="C21" s="9" t="s">
        <v>147</v>
      </c>
      <c r="D21" s="9" t="s">
        <v>185</v>
      </c>
      <c r="E21" s="9" t="s">
        <v>280</v>
      </c>
      <c r="F21" s="9" t="s">
        <v>140</v>
      </c>
      <c r="G21" s="9">
        <v>7</v>
      </c>
      <c r="H21" s="11">
        <v>0</v>
      </c>
      <c r="I21" s="9" t="s">
        <v>126</v>
      </c>
      <c r="J21" t="str">
        <f>PROPER(TRIM(F21))</f>
        <v>Pooja Nair</v>
      </c>
      <c r="K21" t="str">
        <f>PROPER(TRIM(E21))</f>
        <v>East</v>
      </c>
      <c r="L21" t="str">
        <f>TRIM(D21)</f>
        <v>P103</v>
      </c>
      <c r="M21" t="str">
        <f>IFERROR(VLOOKUP(L21,Products!$A$2:$D$21,2,FALSE),"Unknown Product")</f>
        <v>Headphones</v>
      </c>
      <c r="N21" t="str">
        <f>IFERROR(VLOOKUP(L21,Products!$A$2:$D$21,3,0),"Unknown ")</f>
        <v>Electronics</v>
      </c>
      <c r="O21">
        <f>IFERROR(VLOOKUP(L21,Products!$A$2:$D$21,4,0),0)</f>
        <v>3500</v>
      </c>
      <c r="P21" t="str">
        <f>IFERROR(INDEX(Customers!$C$2:$C$41,MATCH(C21,Customers!$A$2:$A$41,0)),"Unknown City")</f>
        <v>Hyderabad</v>
      </c>
      <c r="Q21" s="22">
        <f>G21*O21*(1-H21)</f>
        <v>24500</v>
      </c>
      <c r="R21" t="str">
        <f t="shared" si="0"/>
        <v>Dec-2024</v>
      </c>
      <c r="S21" t="str">
        <f>IF(Q21&gt;=50000,"Large",IF(Q21&gt;=20000,"Medium","Small"))</f>
        <v>Medium</v>
      </c>
      <c r="T21">
        <f>VLOOKUP(Q21,Commission!$A$2:$B$6,2,TRUE)</f>
        <v>0.03</v>
      </c>
      <c r="U21">
        <f>Q21*T21</f>
        <v>735</v>
      </c>
      <c r="V21" t="str">
        <f>IF(AND(I21="Pending",Q21&gt;20000),"Follow Up","OK")</f>
        <v>OK</v>
      </c>
      <c r="W21" t="str">
        <f>_xlfn.XLOOKUP(C21,Customers!$A$2:$A$41,Customers!$D$2:$D$41)</f>
        <v>Corporate</v>
      </c>
    </row>
    <row r="22" spans="1:23" x14ac:dyDescent="0.3">
      <c r="A22" s="9" t="s">
        <v>220</v>
      </c>
      <c r="B22" s="10">
        <v>45538</v>
      </c>
      <c r="C22" s="9" t="s">
        <v>221</v>
      </c>
      <c r="D22" s="9" t="s">
        <v>129</v>
      </c>
      <c r="E22" s="9" t="s">
        <v>124</v>
      </c>
      <c r="F22" s="9" t="s">
        <v>154</v>
      </c>
      <c r="G22" s="9">
        <v>7</v>
      </c>
      <c r="H22" s="11">
        <v>0</v>
      </c>
      <c r="I22" s="9" t="s">
        <v>126</v>
      </c>
      <c r="J22" t="str">
        <f>PROPER(TRIM(F22))</f>
        <v>Kiran Shah</v>
      </c>
      <c r="K22" t="str">
        <f>PROPER(TRIM(E22))</f>
        <v>East</v>
      </c>
      <c r="L22" t="str">
        <f>TRIM(D22)</f>
        <v>P118</v>
      </c>
      <c r="M22" t="str">
        <f>IFERROR(VLOOKUP(L22,Products!$A$2:$D$21,2,FALSE),"Unknown Product")</f>
        <v>Jeans</v>
      </c>
      <c r="N22" t="str">
        <f>IFERROR(VLOOKUP(L22,Products!$A$2:$D$21,3,0),"Unknown ")</f>
        <v>Clothing</v>
      </c>
      <c r="O22">
        <f>IFERROR(VLOOKUP(L22,Products!$A$2:$D$21,4,0),0)</f>
        <v>2800</v>
      </c>
      <c r="P22" t="str">
        <f>IFERROR(INDEX(Customers!$C$2:$C$41,MATCH(C22,Customers!$A$2:$A$41,0)),"Unknown City")</f>
        <v>Chennai</v>
      </c>
      <c r="Q22" s="22">
        <f>G22*O22*(1-H22)</f>
        <v>19600</v>
      </c>
      <c r="R22" t="str">
        <f t="shared" si="0"/>
        <v>Sep-2024</v>
      </c>
      <c r="S22" t="str">
        <f>IF(Q22&gt;=50000,"Large",IF(Q22&gt;=20000,"Medium","Small"))</f>
        <v>Small</v>
      </c>
      <c r="T22">
        <f>VLOOKUP(Q22,Commission!$A$2:$B$6,2,TRUE)</f>
        <v>0.03</v>
      </c>
      <c r="U22">
        <f>Q22*T22</f>
        <v>588</v>
      </c>
      <c r="V22" t="str">
        <f>IF(AND(I22="Pending",Q22&gt;20000),"Follow Up","OK")</f>
        <v>OK</v>
      </c>
      <c r="W22" t="str">
        <f>_xlfn.XLOOKUP(C22,Customers!$A$2:$A$41,Customers!$D$2:$D$41)</f>
        <v>Corporate</v>
      </c>
    </row>
    <row r="23" spans="1:23" x14ac:dyDescent="0.3">
      <c r="A23" s="9" t="s">
        <v>318</v>
      </c>
      <c r="B23" s="10">
        <v>45505</v>
      </c>
      <c r="C23" s="9" t="s">
        <v>298</v>
      </c>
      <c r="D23" s="9" t="s">
        <v>151</v>
      </c>
      <c r="E23" s="9" t="s">
        <v>124</v>
      </c>
      <c r="F23" s="9" t="s">
        <v>157</v>
      </c>
      <c r="G23" s="9">
        <v>7</v>
      </c>
      <c r="H23" s="11">
        <v>0</v>
      </c>
      <c r="I23" s="9" t="s">
        <v>126</v>
      </c>
      <c r="J23" t="str">
        <f>PROPER(TRIM(F23))</f>
        <v>Faisal Khan</v>
      </c>
      <c r="K23" t="str">
        <f>PROPER(TRIM(E23))</f>
        <v>East</v>
      </c>
      <c r="L23" t="str">
        <f>TRIM(D23)</f>
        <v>P110</v>
      </c>
      <c r="M23" t="str">
        <f>IFERROR(VLOOKUP(L23,Products!$A$2:$D$21,2,FALSE),"Unknown Product")</f>
        <v>Coffee Beans</v>
      </c>
      <c r="N23" t="str">
        <f>IFERROR(VLOOKUP(L23,Products!$A$2:$D$21,3,0),"Unknown ")</f>
        <v>Grocery</v>
      </c>
      <c r="O23">
        <f>IFERROR(VLOOKUP(L23,Products!$A$2:$D$21,4,0),0)</f>
        <v>650</v>
      </c>
      <c r="P23" t="str">
        <f>IFERROR(INDEX(Customers!$C$2:$C$41,MATCH(C23,Customers!$A$2:$A$41,0)),"Unknown City")</f>
        <v>Bengaluru</v>
      </c>
      <c r="Q23" s="22">
        <f>G23*O23*(1-H23)</f>
        <v>4550</v>
      </c>
      <c r="R23" t="str">
        <f t="shared" si="0"/>
        <v>Aug-2024</v>
      </c>
      <c r="S23" t="str">
        <f>IF(Q23&gt;=50000,"Large",IF(Q23&gt;=20000,"Medium","Small"))</f>
        <v>Small</v>
      </c>
      <c r="T23">
        <f>VLOOKUP(Q23,Commission!$A$2:$B$6,2,TRUE)</f>
        <v>0.02</v>
      </c>
      <c r="U23">
        <f>Q23*T23</f>
        <v>91</v>
      </c>
      <c r="V23" t="str">
        <f>IF(AND(I23="Pending",Q23&gt;20000),"Follow Up","OK")</f>
        <v>OK</v>
      </c>
      <c r="W23" t="str">
        <f>_xlfn.XLOOKUP(C23,Customers!$A$2:$A$41,Customers!$D$2:$D$41)</f>
        <v>Consumer</v>
      </c>
    </row>
    <row r="24" spans="1:23" x14ac:dyDescent="0.3">
      <c r="A24" s="9" t="s">
        <v>289</v>
      </c>
      <c r="B24" s="10">
        <v>45302</v>
      </c>
      <c r="C24" s="9" t="s">
        <v>286</v>
      </c>
      <c r="D24" s="9" t="s">
        <v>261</v>
      </c>
      <c r="E24" s="9" t="s">
        <v>124</v>
      </c>
      <c r="F24" s="9" t="s">
        <v>164</v>
      </c>
      <c r="G24" s="9">
        <v>6</v>
      </c>
      <c r="H24" s="11">
        <v>0</v>
      </c>
      <c r="I24" s="9" t="s">
        <v>145</v>
      </c>
      <c r="J24" t="str">
        <f>PROPER(TRIM(F24))</f>
        <v>Amit Verma</v>
      </c>
      <c r="K24" t="str">
        <f>PROPER(TRIM(E24))</f>
        <v>East</v>
      </c>
      <c r="L24" t="str">
        <f>TRIM(D24)</f>
        <v>P109</v>
      </c>
      <c r="M24" t="str">
        <f>IFERROR(VLOOKUP(L24,Products!$A$2:$D$21,2,FALSE),"Unknown Product")</f>
        <v>Sofa Set</v>
      </c>
      <c r="N24" t="str">
        <f>IFERROR(VLOOKUP(L24,Products!$A$2:$D$21,3,0),"Unknown ")</f>
        <v>Furniture</v>
      </c>
      <c r="O24">
        <f>IFERROR(VLOOKUP(L24,Products!$A$2:$D$21,4,0),0)</f>
        <v>42000</v>
      </c>
      <c r="P24" t="str">
        <f>IFERROR(INDEX(Customers!$C$2:$C$41,MATCH(C24,Customers!$A$2:$A$41,0)),"Unknown City")</f>
        <v>Hyderabad</v>
      </c>
      <c r="Q24" s="22">
        <f>G24*O24*(1-H24)</f>
        <v>252000</v>
      </c>
      <c r="R24" t="str">
        <f t="shared" si="0"/>
        <v>Jan-2024</v>
      </c>
      <c r="S24" t="str">
        <f>IF(Q24&gt;=50000,"Large",IF(Q24&gt;=20000,"Medium","Small"))</f>
        <v>Large</v>
      </c>
      <c r="T24">
        <f>VLOOKUP(Q24,Commission!$A$2:$B$6,2,TRUE)</f>
        <v>0.06</v>
      </c>
      <c r="U24">
        <f>Q24*T24</f>
        <v>15120</v>
      </c>
      <c r="V24" t="str">
        <f>IF(AND(I24="Pending",Q24&gt;20000),"Follow Up","OK")</f>
        <v>OK</v>
      </c>
      <c r="W24" t="str">
        <f>_xlfn.XLOOKUP(C24,Customers!$A$2:$A$41,Customers!$D$2:$D$41)</f>
        <v>Corporate</v>
      </c>
    </row>
    <row r="25" spans="1:23" x14ac:dyDescent="0.3">
      <c r="A25" s="9" t="s">
        <v>376</v>
      </c>
      <c r="B25" s="10">
        <v>45457</v>
      </c>
      <c r="C25" s="9" t="s">
        <v>197</v>
      </c>
      <c r="D25" s="9" t="s">
        <v>242</v>
      </c>
      <c r="E25" s="9" t="s">
        <v>124</v>
      </c>
      <c r="F25" s="9" t="s">
        <v>140</v>
      </c>
      <c r="G25" s="9">
        <v>6</v>
      </c>
      <c r="H25" s="11">
        <v>0</v>
      </c>
      <c r="I25" s="9" t="s">
        <v>126</v>
      </c>
      <c r="J25" t="str">
        <f>PROPER(TRIM(F25))</f>
        <v>Pooja Nair</v>
      </c>
      <c r="K25" t="str">
        <f>PROPER(TRIM(E25))</f>
        <v>East</v>
      </c>
      <c r="L25" t="str">
        <f>TRIM(D25)</f>
        <v>P102</v>
      </c>
      <c r="M25" t="str">
        <f>IFERROR(VLOOKUP(L25,Products!$A$2:$D$21,2,FALSE),"Unknown Product")</f>
        <v>Smartphone</v>
      </c>
      <c r="N25" t="str">
        <f>IFERROR(VLOOKUP(L25,Products!$A$2:$D$21,3,0),"Unknown ")</f>
        <v>Electronics</v>
      </c>
      <c r="O25">
        <f>IFERROR(VLOOKUP(L25,Products!$A$2:$D$21,4,0),0)</f>
        <v>28000</v>
      </c>
      <c r="P25" t="str">
        <f>IFERROR(INDEX(Customers!$C$2:$C$41,MATCH(C25,Customers!$A$2:$A$41,0)),"Unknown City")</f>
        <v>Chennai</v>
      </c>
      <c r="Q25" s="22">
        <f>G25*O25*(1-H25)</f>
        <v>168000</v>
      </c>
      <c r="R25" t="str">
        <f t="shared" si="0"/>
        <v>Jun-2024</v>
      </c>
      <c r="S25" t="str">
        <f>IF(Q25&gt;=50000,"Large",IF(Q25&gt;=20000,"Medium","Small"))</f>
        <v>Large</v>
      </c>
      <c r="T25">
        <f>VLOOKUP(Q25,Commission!$A$2:$B$6,2,TRUE)</f>
        <v>0.06</v>
      </c>
      <c r="U25">
        <f>Q25*T25</f>
        <v>10080</v>
      </c>
      <c r="V25" t="str">
        <f>IF(AND(I25="Pending",Q25&gt;20000),"Follow Up","OK")</f>
        <v>OK</v>
      </c>
      <c r="W25" t="str">
        <f>_xlfn.XLOOKUP(C25,Customers!$A$2:$A$41,Customers!$D$2:$D$41)</f>
        <v>Home Office</v>
      </c>
    </row>
    <row r="26" spans="1:23" x14ac:dyDescent="0.3">
      <c r="A26" s="9" t="s">
        <v>390</v>
      </c>
      <c r="B26" s="10">
        <v>45359</v>
      </c>
      <c r="C26" s="9" t="s">
        <v>142</v>
      </c>
      <c r="D26" s="9" t="s">
        <v>123</v>
      </c>
      <c r="E26" s="9" t="s">
        <v>124</v>
      </c>
      <c r="F26" s="9" t="s">
        <v>330</v>
      </c>
      <c r="G26" s="9">
        <v>6</v>
      </c>
      <c r="H26" s="11">
        <v>0.05</v>
      </c>
      <c r="I26" s="9" t="s">
        <v>126</v>
      </c>
      <c r="J26" t="str">
        <f>PROPER(TRIM(F26))</f>
        <v>Latha Menon</v>
      </c>
      <c r="K26" t="str">
        <f>PROPER(TRIM(E26))</f>
        <v>East</v>
      </c>
      <c r="L26" t="str">
        <f>TRIM(D26)</f>
        <v>P107</v>
      </c>
      <c r="M26" t="str">
        <f>IFERROR(VLOOKUP(L26,Products!$A$2:$D$21,2,FALSE),"Unknown Product")</f>
        <v>Standing Desk</v>
      </c>
      <c r="N26" t="str">
        <f>IFERROR(VLOOKUP(L26,Products!$A$2:$D$21,3,0),"Unknown ")</f>
        <v>Furniture</v>
      </c>
      <c r="O26">
        <f>IFERROR(VLOOKUP(L26,Products!$A$2:$D$21,4,0),0)</f>
        <v>18000</v>
      </c>
      <c r="P26" t="str">
        <f>IFERROR(INDEX(Customers!$C$2:$C$41,MATCH(C26,Customers!$A$2:$A$41,0)),"Unknown City")</f>
        <v>Bengaluru</v>
      </c>
      <c r="Q26" s="22">
        <f>G26*O26*(1-H26)</f>
        <v>102600</v>
      </c>
      <c r="R26" t="str">
        <f t="shared" si="0"/>
        <v>Mar-2024</v>
      </c>
      <c r="S26" t="str">
        <f>IF(Q26&gt;=50000,"Large",IF(Q26&gt;=20000,"Medium","Small"))</f>
        <v>Large</v>
      </c>
      <c r="T26">
        <f>VLOOKUP(Q26,Commission!$A$2:$B$6,2,TRUE)</f>
        <v>0.06</v>
      </c>
      <c r="U26">
        <f>Q26*T26</f>
        <v>6156</v>
      </c>
      <c r="V26" t="str">
        <f>IF(AND(I26="Pending",Q26&gt;20000),"Follow Up","OK")</f>
        <v>OK</v>
      </c>
      <c r="W26" t="str">
        <f>_xlfn.XLOOKUP(C26,Customers!$A$2:$A$41,Customers!$D$2:$D$41)</f>
        <v>Consumer</v>
      </c>
    </row>
    <row r="27" spans="1:23" x14ac:dyDescent="0.3">
      <c r="A27" s="9" t="s">
        <v>392</v>
      </c>
      <c r="B27" s="10">
        <v>45533</v>
      </c>
      <c r="C27" s="9" t="s">
        <v>122</v>
      </c>
      <c r="D27" s="9" t="s">
        <v>123</v>
      </c>
      <c r="E27" s="9" t="s">
        <v>124</v>
      </c>
      <c r="F27" s="9" t="s">
        <v>131</v>
      </c>
      <c r="G27" s="9">
        <v>6</v>
      </c>
      <c r="H27" s="11">
        <v>0</v>
      </c>
      <c r="I27" s="9" t="s">
        <v>126</v>
      </c>
      <c r="J27" t="str">
        <f>PROPER(TRIM(F27))</f>
        <v>Reena Joshi</v>
      </c>
      <c r="K27" t="str">
        <f>PROPER(TRIM(E27))</f>
        <v>East</v>
      </c>
      <c r="L27" t="str">
        <f>TRIM(D27)</f>
        <v>P107</v>
      </c>
      <c r="M27" t="str">
        <f>IFERROR(VLOOKUP(L27,Products!$A$2:$D$21,2,FALSE),"Unknown Product")</f>
        <v>Standing Desk</v>
      </c>
      <c r="N27" t="str">
        <f>IFERROR(VLOOKUP(L27,Products!$A$2:$D$21,3,0),"Unknown ")</f>
        <v>Furniture</v>
      </c>
      <c r="O27">
        <f>IFERROR(VLOOKUP(L27,Products!$A$2:$D$21,4,0),0)</f>
        <v>18000</v>
      </c>
      <c r="P27" t="str">
        <f>IFERROR(INDEX(Customers!$C$2:$C$41,MATCH(C27,Customers!$A$2:$A$41,0)),"Unknown City")</f>
        <v>Pune</v>
      </c>
      <c r="Q27" s="22">
        <f>G27*O27*(1-H27)</f>
        <v>108000</v>
      </c>
      <c r="R27" t="str">
        <f t="shared" si="0"/>
        <v>Aug-2024</v>
      </c>
      <c r="S27" t="str">
        <f>IF(Q27&gt;=50000,"Large",IF(Q27&gt;=20000,"Medium","Small"))</f>
        <v>Large</v>
      </c>
      <c r="T27">
        <f>VLOOKUP(Q27,Commission!$A$2:$B$6,2,TRUE)</f>
        <v>0.06</v>
      </c>
      <c r="U27">
        <f>Q27*T27</f>
        <v>6480</v>
      </c>
      <c r="V27" t="str">
        <f>IF(AND(I27="Pending",Q27&gt;20000),"Follow Up","OK")</f>
        <v>OK</v>
      </c>
      <c r="W27" t="str">
        <f>_xlfn.XLOOKUP(C27,Customers!$A$2:$A$41,Customers!$D$2:$D$41)</f>
        <v>Corporate</v>
      </c>
    </row>
    <row r="28" spans="1:23" x14ac:dyDescent="0.3">
      <c r="A28" s="9" t="s">
        <v>255</v>
      </c>
      <c r="B28" s="10">
        <v>45346</v>
      </c>
      <c r="C28" s="9" t="s">
        <v>256</v>
      </c>
      <c r="D28" s="9" t="s">
        <v>227</v>
      </c>
      <c r="E28" s="9" t="s">
        <v>124</v>
      </c>
      <c r="F28" s="9" t="s">
        <v>157</v>
      </c>
      <c r="G28" s="9">
        <v>6</v>
      </c>
      <c r="H28" s="11">
        <v>0</v>
      </c>
      <c r="I28" s="9" t="s">
        <v>165</v>
      </c>
      <c r="J28" t="str">
        <f>PROPER(TRIM(F28))</f>
        <v>Faisal Khan</v>
      </c>
      <c r="K28" t="str">
        <f>PROPER(TRIM(E28))</f>
        <v>East</v>
      </c>
      <c r="L28" t="str">
        <f>TRIM(D28)</f>
        <v>P105</v>
      </c>
      <c r="M28" t="str">
        <f>IFERROR(VLOOKUP(L28,Products!$A$2:$D$21,2,FALSE),"Unknown Product")</f>
        <v>Smartwatch</v>
      </c>
      <c r="N28" t="str">
        <f>IFERROR(VLOOKUP(L28,Products!$A$2:$D$21,3,0),"Unknown ")</f>
        <v>Electronics</v>
      </c>
      <c r="O28">
        <f>IFERROR(VLOOKUP(L28,Products!$A$2:$D$21,4,0),0)</f>
        <v>9500</v>
      </c>
      <c r="P28" t="str">
        <f>IFERROR(INDEX(Customers!$C$2:$C$41,MATCH(C28,Customers!$A$2:$A$41,0)),"Unknown City")</f>
        <v>Bengaluru</v>
      </c>
      <c r="Q28" s="22">
        <f>G28*O28*(1-H28)</f>
        <v>57000</v>
      </c>
      <c r="R28" t="str">
        <f t="shared" si="0"/>
        <v>Feb-2024</v>
      </c>
      <c r="S28" t="str">
        <f>IF(Q28&gt;=50000,"Large",IF(Q28&gt;=20000,"Medium","Small"))</f>
        <v>Large</v>
      </c>
      <c r="T28">
        <f>VLOOKUP(Q28,Commission!$A$2:$B$6,2,TRUE)</f>
        <v>0.05</v>
      </c>
      <c r="U28">
        <f>Q28*T28</f>
        <v>2850</v>
      </c>
      <c r="V28" t="str">
        <f>IF(AND(I28="Pending",Q28&gt;20000),"Follow Up","OK")</f>
        <v>Follow Up</v>
      </c>
      <c r="W28" t="str">
        <f>_xlfn.XLOOKUP(C28,Customers!$A$2:$A$41,Customers!$D$2:$D$41)</f>
        <v>Consumer</v>
      </c>
    </row>
    <row r="29" spans="1:23" x14ac:dyDescent="0.3">
      <c r="A29" s="9" t="s">
        <v>153</v>
      </c>
      <c r="B29" s="10">
        <v>45482</v>
      </c>
      <c r="C29" s="9" t="s">
        <v>122</v>
      </c>
      <c r="D29" s="9" t="s">
        <v>138</v>
      </c>
      <c r="E29" s="9" t="s">
        <v>124</v>
      </c>
      <c r="F29" s="9" t="s">
        <v>154</v>
      </c>
      <c r="G29" s="9">
        <v>6</v>
      </c>
      <c r="H29" s="11">
        <v>0</v>
      </c>
      <c r="I29" s="9" t="s">
        <v>126</v>
      </c>
      <c r="J29" t="str">
        <f>PROPER(TRIM(F29))</f>
        <v>Kiran Shah</v>
      </c>
      <c r="K29" t="str">
        <f>PROPER(TRIM(E29))</f>
        <v>East</v>
      </c>
      <c r="L29" t="str">
        <f>TRIM(D29)</f>
        <v>P113</v>
      </c>
      <c r="M29" t="str">
        <f>IFERROR(VLOOKUP(L29,Products!$A$2:$D$21,2,FALSE),"Unknown Product")</f>
        <v>Protein Bar Box</v>
      </c>
      <c r="N29" t="str">
        <f>IFERROR(VLOOKUP(L29,Products!$A$2:$D$21,3,0),"Unknown ")</f>
        <v>Grocery</v>
      </c>
      <c r="O29">
        <f>IFERROR(VLOOKUP(L29,Products!$A$2:$D$21,4,0),0)</f>
        <v>1200</v>
      </c>
      <c r="P29" t="str">
        <f>IFERROR(INDEX(Customers!$C$2:$C$41,MATCH(C29,Customers!$A$2:$A$41,0)),"Unknown City")</f>
        <v>Pune</v>
      </c>
      <c r="Q29" s="22">
        <f>G29*O29*(1-H29)</f>
        <v>7200</v>
      </c>
      <c r="R29" t="str">
        <f t="shared" si="0"/>
        <v>Jul-2024</v>
      </c>
      <c r="S29" t="str">
        <f>IF(Q29&gt;=50000,"Large",IF(Q29&gt;=20000,"Medium","Small"))</f>
        <v>Small</v>
      </c>
      <c r="T29">
        <f>VLOOKUP(Q29,Commission!$A$2:$B$6,2,TRUE)</f>
        <v>0.02</v>
      </c>
      <c r="U29">
        <f>Q29*T29</f>
        <v>144</v>
      </c>
      <c r="V29" t="str">
        <f>IF(AND(I29="Pending",Q29&gt;20000),"Follow Up","OK")</f>
        <v>OK</v>
      </c>
      <c r="W29" t="str">
        <f>_xlfn.XLOOKUP(C29,Customers!$A$2:$A$41,Customers!$D$2:$D$41)</f>
        <v>Corporate</v>
      </c>
    </row>
    <row r="30" spans="1:23" x14ac:dyDescent="0.3">
      <c r="A30" s="9" t="s">
        <v>285</v>
      </c>
      <c r="B30" s="10">
        <v>45325</v>
      </c>
      <c r="C30" s="9" t="s">
        <v>286</v>
      </c>
      <c r="D30" s="9" t="s">
        <v>224</v>
      </c>
      <c r="E30" s="9" t="s">
        <v>124</v>
      </c>
      <c r="F30" s="9" t="s">
        <v>154</v>
      </c>
      <c r="G30" s="9">
        <v>6</v>
      </c>
      <c r="H30" s="11">
        <v>0.1</v>
      </c>
      <c r="I30" s="9" t="s">
        <v>126</v>
      </c>
      <c r="J30" t="str">
        <f>PROPER(TRIM(F30))</f>
        <v>Kiran Shah</v>
      </c>
      <c r="K30" t="str">
        <f>PROPER(TRIM(E30))</f>
        <v>East</v>
      </c>
      <c r="L30" t="str">
        <f>TRIM(D30)</f>
        <v>P120</v>
      </c>
      <c r="M30" t="str">
        <f>IFERROR(VLOOKUP(L30,Products!$A$2:$D$21,2,FALSE),"Unknown Product")</f>
        <v>Printer Paper</v>
      </c>
      <c r="N30" t="str">
        <f>IFERROR(VLOOKUP(L30,Products!$A$2:$D$21,3,0),"Unknown ")</f>
        <v>Stationery</v>
      </c>
      <c r="O30">
        <f>IFERROR(VLOOKUP(L30,Products!$A$2:$D$21,4,0),0)</f>
        <v>620</v>
      </c>
      <c r="P30" t="str">
        <f>IFERROR(INDEX(Customers!$C$2:$C$41,MATCH(C30,Customers!$A$2:$A$41,0)),"Unknown City")</f>
        <v>Hyderabad</v>
      </c>
      <c r="Q30" s="22">
        <f>G30*O30*(1-H30)</f>
        <v>3348</v>
      </c>
      <c r="R30" t="str">
        <f t="shared" si="0"/>
        <v>Feb-2024</v>
      </c>
      <c r="S30" t="str">
        <f>IF(Q30&gt;=50000,"Large",IF(Q30&gt;=20000,"Medium","Small"))</f>
        <v>Small</v>
      </c>
      <c r="T30">
        <f>VLOOKUP(Q30,Commission!$A$2:$B$6,2,TRUE)</f>
        <v>0.02</v>
      </c>
      <c r="U30">
        <f>Q30*T30</f>
        <v>66.960000000000008</v>
      </c>
      <c r="V30" t="str">
        <f>IF(AND(I30="Pending",Q30&gt;20000),"Follow Up","OK")</f>
        <v>OK</v>
      </c>
      <c r="W30" t="str">
        <f>_xlfn.XLOOKUP(C30,Customers!$A$2:$A$41,Customers!$D$2:$D$41)</f>
        <v>Corporate</v>
      </c>
    </row>
    <row r="31" spans="1:23" x14ac:dyDescent="0.3">
      <c r="A31" s="9" t="s">
        <v>237</v>
      </c>
      <c r="B31" s="10">
        <v>45324</v>
      </c>
      <c r="C31" s="9" t="s">
        <v>223</v>
      </c>
      <c r="D31" s="9" t="s">
        <v>159</v>
      </c>
      <c r="E31" s="9" t="s">
        <v>124</v>
      </c>
      <c r="F31" s="9" t="s">
        <v>135</v>
      </c>
      <c r="G31" s="9">
        <v>6</v>
      </c>
      <c r="H31" s="11">
        <v>0.1</v>
      </c>
      <c r="I31" s="9" t="s">
        <v>126</v>
      </c>
      <c r="J31" t="str">
        <f>PROPER(TRIM(F31))</f>
        <v>Manoj Das</v>
      </c>
      <c r="K31" t="str">
        <f>PROPER(TRIM(E31))</f>
        <v>East</v>
      </c>
      <c r="L31" t="str">
        <f>TRIM(D31)</f>
        <v>P111</v>
      </c>
      <c r="M31" t="str">
        <f>IFERROR(VLOOKUP(L31,Products!$A$2:$D$21,2,FALSE),"Unknown Product")</f>
        <v>Green Tea</v>
      </c>
      <c r="N31" t="str">
        <f>IFERROR(VLOOKUP(L31,Products!$A$2:$D$21,3,0),"Unknown ")</f>
        <v>Grocery</v>
      </c>
      <c r="O31">
        <f>IFERROR(VLOOKUP(L31,Products!$A$2:$D$21,4,0),0)</f>
        <v>420</v>
      </c>
      <c r="P31" t="str">
        <f>IFERROR(INDEX(Customers!$C$2:$C$41,MATCH(C31,Customers!$A$2:$A$41,0)),"Unknown City")</f>
        <v>Delhi</v>
      </c>
      <c r="Q31" s="22">
        <f>G31*O31*(1-H31)</f>
        <v>2268</v>
      </c>
      <c r="R31" t="str">
        <f t="shared" si="0"/>
        <v>Feb-2024</v>
      </c>
      <c r="S31" t="str">
        <f>IF(Q31&gt;=50000,"Large",IF(Q31&gt;=20000,"Medium","Small"))</f>
        <v>Small</v>
      </c>
      <c r="T31">
        <f>VLOOKUP(Q31,Commission!$A$2:$B$6,2,TRUE)</f>
        <v>0.02</v>
      </c>
      <c r="U31">
        <f>Q31*T31</f>
        <v>45.36</v>
      </c>
      <c r="V31" t="str">
        <f>IF(AND(I31="Pending",Q31&gt;20000),"Follow Up","OK")</f>
        <v>OK</v>
      </c>
      <c r="W31" t="str">
        <f>_xlfn.XLOOKUP(C31,Customers!$A$2:$A$41,Customers!$D$2:$D$41)</f>
        <v>Home Office</v>
      </c>
    </row>
    <row r="32" spans="1:23" x14ac:dyDescent="0.3">
      <c r="A32" s="9" t="s">
        <v>396</v>
      </c>
      <c r="B32" s="10">
        <v>45602</v>
      </c>
      <c r="C32" s="9" t="s">
        <v>197</v>
      </c>
      <c r="D32" s="9" t="s">
        <v>159</v>
      </c>
      <c r="E32" s="9" t="s">
        <v>124</v>
      </c>
      <c r="F32" s="9" t="s">
        <v>131</v>
      </c>
      <c r="G32" s="9">
        <v>6</v>
      </c>
      <c r="H32" s="11">
        <v>0.1</v>
      </c>
      <c r="I32" s="9" t="s">
        <v>126</v>
      </c>
      <c r="J32" t="str">
        <f>PROPER(TRIM(F32))</f>
        <v>Reena Joshi</v>
      </c>
      <c r="K32" t="str">
        <f>PROPER(TRIM(E32))</f>
        <v>East</v>
      </c>
      <c r="L32" t="str">
        <f>TRIM(D32)</f>
        <v>P111</v>
      </c>
      <c r="M32" t="str">
        <f>IFERROR(VLOOKUP(L32,Products!$A$2:$D$21,2,FALSE),"Unknown Product")</f>
        <v>Green Tea</v>
      </c>
      <c r="N32" t="str">
        <f>IFERROR(VLOOKUP(L32,Products!$A$2:$D$21,3,0),"Unknown ")</f>
        <v>Grocery</v>
      </c>
      <c r="O32">
        <f>IFERROR(VLOOKUP(L32,Products!$A$2:$D$21,4,0),0)</f>
        <v>420</v>
      </c>
      <c r="P32" t="str">
        <f>IFERROR(INDEX(Customers!$C$2:$C$41,MATCH(C32,Customers!$A$2:$A$41,0)),"Unknown City")</f>
        <v>Chennai</v>
      </c>
      <c r="Q32" s="22">
        <f>G32*O32*(1-H32)</f>
        <v>2268</v>
      </c>
      <c r="R32" t="str">
        <f t="shared" si="0"/>
        <v>Nov-2024</v>
      </c>
      <c r="S32" t="str">
        <f>IF(Q32&gt;=50000,"Large",IF(Q32&gt;=20000,"Medium","Small"))</f>
        <v>Small</v>
      </c>
      <c r="T32">
        <f>VLOOKUP(Q32,Commission!$A$2:$B$6,2,TRUE)</f>
        <v>0.02</v>
      </c>
      <c r="U32">
        <f>Q32*T32</f>
        <v>45.36</v>
      </c>
      <c r="V32" t="str">
        <f>IF(AND(I32="Pending",Q32&gt;20000),"Follow Up","OK")</f>
        <v>OK</v>
      </c>
      <c r="W32" t="str">
        <f>_xlfn.XLOOKUP(C32,Customers!$A$2:$A$41,Customers!$D$2:$D$41)</f>
        <v>Home Office</v>
      </c>
    </row>
    <row r="33" spans="1:23" x14ac:dyDescent="0.3">
      <c r="A33" s="9" t="s">
        <v>370</v>
      </c>
      <c r="B33" s="10">
        <v>45645</v>
      </c>
      <c r="C33" s="9" t="s">
        <v>184</v>
      </c>
      <c r="D33" s="9" t="s">
        <v>170</v>
      </c>
      <c r="E33" s="9" t="s">
        <v>124</v>
      </c>
      <c r="F33" s="9" t="s">
        <v>206</v>
      </c>
      <c r="G33" s="9">
        <v>5</v>
      </c>
      <c r="H33" s="11">
        <v>0.1</v>
      </c>
      <c r="I33" s="9" t="s">
        <v>126</v>
      </c>
      <c r="J33" t="str">
        <f>PROPER(TRIM(F33))</f>
        <v>Sunita Rao</v>
      </c>
      <c r="K33" t="str">
        <f>PROPER(TRIM(E33))</f>
        <v>East</v>
      </c>
      <c r="L33" t="str">
        <f>TRIM(D33)</f>
        <v>P101</v>
      </c>
      <c r="M33" t="str">
        <f>IFERROR(VLOOKUP(L33,Products!$A$2:$D$21,2,FALSE),"Unknown Product")</f>
        <v>Laptop</v>
      </c>
      <c r="N33" t="str">
        <f>IFERROR(VLOOKUP(L33,Products!$A$2:$D$21,3,0),"Unknown ")</f>
        <v>Electronics</v>
      </c>
      <c r="O33">
        <f>IFERROR(VLOOKUP(L33,Products!$A$2:$D$21,4,0),0)</f>
        <v>55000</v>
      </c>
      <c r="P33" t="str">
        <f>IFERROR(INDEX(Customers!$C$2:$C$41,MATCH(C33,Customers!$A$2:$A$41,0)),"Unknown City")</f>
        <v>Mumbai</v>
      </c>
      <c r="Q33" s="22">
        <f>G33*O33*(1-H33)</f>
        <v>247500</v>
      </c>
      <c r="R33" t="str">
        <f t="shared" si="0"/>
        <v>Dec-2024</v>
      </c>
      <c r="S33" t="str">
        <f>IF(Q33&gt;=50000,"Large",IF(Q33&gt;=20000,"Medium","Small"))</f>
        <v>Large</v>
      </c>
      <c r="T33">
        <f>VLOOKUP(Q33,Commission!$A$2:$B$6,2,TRUE)</f>
        <v>0.06</v>
      </c>
      <c r="U33">
        <f>Q33*T33</f>
        <v>14850</v>
      </c>
      <c r="V33" t="str">
        <f>IF(AND(I33="Pending",Q33&gt;20000),"Follow Up","OK")</f>
        <v>OK</v>
      </c>
      <c r="W33" t="str">
        <f>_xlfn.XLOOKUP(C33,Customers!$A$2:$A$41,Customers!$D$2:$D$41)</f>
        <v>Home Office</v>
      </c>
    </row>
    <row r="34" spans="1:23" x14ac:dyDescent="0.3">
      <c r="A34" s="9" t="s">
        <v>211</v>
      </c>
      <c r="B34" s="10">
        <v>45636</v>
      </c>
      <c r="C34" s="9" t="s">
        <v>162</v>
      </c>
      <c r="D34" s="9" t="s">
        <v>212</v>
      </c>
      <c r="E34" s="9" t="s">
        <v>124</v>
      </c>
      <c r="F34" s="9" t="s">
        <v>213</v>
      </c>
      <c r="G34" s="9">
        <v>5</v>
      </c>
      <c r="H34" s="11">
        <v>0</v>
      </c>
      <c r="I34" s="9" t="s">
        <v>126</v>
      </c>
      <c r="J34" t="str">
        <f>PROPER(TRIM(F34))</f>
        <v>Amit Verma</v>
      </c>
      <c r="K34" t="str">
        <f>PROPER(TRIM(E34))</f>
        <v>East</v>
      </c>
      <c r="L34" t="str">
        <f>TRIM(D34)</f>
        <v>P109</v>
      </c>
      <c r="M34" t="str">
        <f>IFERROR(VLOOKUP(L34,Products!$A$2:$D$21,2,FALSE),"Unknown Product")</f>
        <v>Sofa Set</v>
      </c>
      <c r="N34" t="str">
        <f>IFERROR(VLOOKUP(L34,Products!$A$2:$D$21,3,0),"Unknown ")</f>
        <v>Furniture</v>
      </c>
      <c r="O34">
        <f>IFERROR(VLOOKUP(L34,Products!$A$2:$D$21,4,0),0)</f>
        <v>42000</v>
      </c>
      <c r="P34" t="str">
        <f>IFERROR(INDEX(Customers!$C$2:$C$41,MATCH(C34,Customers!$A$2:$A$41,0)),"Unknown City")</f>
        <v>Delhi</v>
      </c>
      <c r="Q34" s="22">
        <f>G34*O34*(1-H34)</f>
        <v>210000</v>
      </c>
      <c r="R34" t="str">
        <f t="shared" si="0"/>
        <v>Dec-2024</v>
      </c>
      <c r="S34" t="str">
        <f>IF(Q34&gt;=50000,"Large",IF(Q34&gt;=20000,"Medium","Small"))</f>
        <v>Large</v>
      </c>
      <c r="T34">
        <f>VLOOKUP(Q34,Commission!$A$2:$B$6,2,TRUE)</f>
        <v>0.06</v>
      </c>
      <c r="U34">
        <f>Q34*T34</f>
        <v>12600</v>
      </c>
      <c r="V34" t="str">
        <f>IF(AND(I34="Pending",Q34&gt;20000),"Follow Up","OK")</f>
        <v>OK</v>
      </c>
      <c r="W34" t="str">
        <f>_xlfn.XLOOKUP(C34,Customers!$A$2:$A$41,Customers!$D$2:$D$41)</f>
        <v>Home Office</v>
      </c>
    </row>
    <row r="35" spans="1:23" x14ac:dyDescent="0.3">
      <c r="A35" s="9" t="s">
        <v>418</v>
      </c>
      <c r="B35" s="10">
        <v>45338</v>
      </c>
      <c r="C35" s="9" t="s">
        <v>218</v>
      </c>
      <c r="D35" s="9" t="s">
        <v>138</v>
      </c>
      <c r="E35" s="9" t="s">
        <v>280</v>
      </c>
      <c r="F35" s="9" t="s">
        <v>157</v>
      </c>
      <c r="G35" s="9">
        <v>5</v>
      </c>
      <c r="H35" s="11">
        <v>0.15</v>
      </c>
      <c r="I35" s="9" t="s">
        <v>126</v>
      </c>
      <c r="J35" t="str">
        <f>PROPER(TRIM(F35))</f>
        <v>Faisal Khan</v>
      </c>
      <c r="K35" t="str">
        <f>PROPER(TRIM(E35))</f>
        <v>East</v>
      </c>
      <c r="L35" t="str">
        <f>TRIM(D35)</f>
        <v>P113</v>
      </c>
      <c r="M35" t="str">
        <f>IFERROR(VLOOKUP(L35,Products!$A$2:$D$21,2,FALSE),"Unknown Product")</f>
        <v>Protein Bar Box</v>
      </c>
      <c r="N35" t="str">
        <f>IFERROR(VLOOKUP(L35,Products!$A$2:$D$21,3,0),"Unknown ")</f>
        <v>Grocery</v>
      </c>
      <c r="O35">
        <f>IFERROR(VLOOKUP(L35,Products!$A$2:$D$21,4,0),0)</f>
        <v>1200</v>
      </c>
      <c r="P35" t="str">
        <f>IFERROR(INDEX(Customers!$C$2:$C$41,MATCH(C35,Customers!$A$2:$A$41,0)),"Unknown City")</f>
        <v>Mumbai</v>
      </c>
      <c r="Q35" s="22">
        <f>G35*O35*(1-H35)</f>
        <v>5100</v>
      </c>
      <c r="R35" t="str">
        <f t="shared" si="0"/>
        <v>Feb-2024</v>
      </c>
      <c r="S35" t="str">
        <f>IF(Q35&gt;=50000,"Large",IF(Q35&gt;=20000,"Medium","Small"))</f>
        <v>Small</v>
      </c>
      <c r="T35">
        <f>VLOOKUP(Q35,Commission!$A$2:$B$6,2,TRUE)</f>
        <v>0.02</v>
      </c>
      <c r="U35">
        <f>Q35*T35</f>
        <v>102</v>
      </c>
      <c r="V35" t="str">
        <f>IF(AND(I35="Pending",Q35&gt;20000),"Follow Up","OK")</f>
        <v>OK</v>
      </c>
      <c r="W35" t="str">
        <f>_xlfn.XLOOKUP(C35,Customers!$A$2:$A$41,Customers!$D$2:$D$41)</f>
        <v>Home Office</v>
      </c>
    </row>
    <row r="36" spans="1:23" x14ac:dyDescent="0.3">
      <c r="A36" s="9" t="s">
        <v>294</v>
      </c>
      <c r="B36" s="10">
        <v>45379</v>
      </c>
      <c r="C36" s="9" t="s">
        <v>178</v>
      </c>
      <c r="D36" s="9" t="s">
        <v>133</v>
      </c>
      <c r="E36" s="9" t="s">
        <v>124</v>
      </c>
      <c r="F36" s="9" t="s">
        <v>135</v>
      </c>
      <c r="G36" s="9">
        <v>5</v>
      </c>
      <c r="H36" s="11">
        <v>0</v>
      </c>
      <c r="I36" s="9" t="s">
        <v>126</v>
      </c>
      <c r="J36" t="str">
        <f>PROPER(TRIM(F36))</f>
        <v>Manoj Das</v>
      </c>
      <c r="K36" t="str">
        <f>PROPER(TRIM(E36))</f>
        <v>East</v>
      </c>
      <c r="L36" t="str">
        <f>TRIM(D36)</f>
        <v>P114</v>
      </c>
      <c r="M36" t="str">
        <f>IFERROR(VLOOKUP(L36,Products!$A$2:$D$21,2,FALSE),"Unknown Product")</f>
        <v>Almonds 1kg</v>
      </c>
      <c r="N36" t="str">
        <f>IFERROR(VLOOKUP(L36,Products!$A$2:$D$21,3,0),"Unknown ")</f>
        <v>Grocery</v>
      </c>
      <c r="O36">
        <f>IFERROR(VLOOKUP(L36,Products!$A$2:$D$21,4,0),0)</f>
        <v>850</v>
      </c>
      <c r="P36" t="str">
        <f>IFERROR(INDEX(Customers!$C$2:$C$41,MATCH(C36,Customers!$A$2:$A$41,0)),"Unknown City")</f>
        <v>Kolkata</v>
      </c>
      <c r="Q36" s="22">
        <f>G36*O36*(1-H36)</f>
        <v>4250</v>
      </c>
      <c r="R36" t="str">
        <f t="shared" si="0"/>
        <v>Mar-2024</v>
      </c>
      <c r="S36" t="str">
        <f>IF(Q36&gt;=50000,"Large",IF(Q36&gt;=20000,"Medium","Small"))</f>
        <v>Small</v>
      </c>
      <c r="T36">
        <f>VLOOKUP(Q36,Commission!$A$2:$B$6,2,TRUE)</f>
        <v>0.02</v>
      </c>
      <c r="U36">
        <f>Q36*T36</f>
        <v>85</v>
      </c>
      <c r="V36" t="str">
        <f>IF(AND(I36="Pending",Q36&gt;20000),"Follow Up","OK")</f>
        <v>OK</v>
      </c>
      <c r="W36" t="str">
        <f>_xlfn.XLOOKUP(C36,Customers!$A$2:$A$41,Customers!$D$2:$D$41)</f>
        <v>Corporate</v>
      </c>
    </row>
    <row r="37" spans="1:23" x14ac:dyDescent="0.3">
      <c r="A37" s="9" t="s">
        <v>203</v>
      </c>
      <c r="B37" s="10">
        <v>45384</v>
      </c>
      <c r="C37" s="9" t="s">
        <v>137</v>
      </c>
      <c r="D37" s="9" t="s">
        <v>151</v>
      </c>
      <c r="E37" s="9" t="s">
        <v>124</v>
      </c>
      <c r="F37" s="9" t="s">
        <v>140</v>
      </c>
      <c r="G37" s="9">
        <v>5</v>
      </c>
      <c r="H37" s="11">
        <v>0</v>
      </c>
      <c r="I37" s="9" t="s">
        <v>145</v>
      </c>
      <c r="J37" t="str">
        <f>PROPER(TRIM(F37))</f>
        <v>Pooja Nair</v>
      </c>
      <c r="K37" t="str">
        <f>PROPER(TRIM(E37))</f>
        <v>East</v>
      </c>
      <c r="L37" t="str">
        <f>TRIM(D37)</f>
        <v>P110</v>
      </c>
      <c r="M37" t="str">
        <f>IFERROR(VLOOKUP(L37,Products!$A$2:$D$21,2,FALSE),"Unknown Product")</f>
        <v>Coffee Beans</v>
      </c>
      <c r="N37" t="str">
        <f>IFERROR(VLOOKUP(L37,Products!$A$2:$D$21,3,0),"Unknown ")</f>
        <v>Grocery</v>
      </c>
      <c r="O37">
        <f>IFERROR(VLOOKUP(L37,Products!$A$2:$D$21,4,0),0)</f>
        <v>650</v>
      </c>
      <c r="P37" t="str">
        <f>IFERROR(INDEX(Customers!$C$2:$C$41,MATCH(C37,Customers!$A$2:$A$41,0)),"Unknown City")</f>
        <v>Bengaluru</v>
      </c>
      <c r="Q37" s="22">
        <f>G37*O37*(1-H37)</f>
        <v>3250</v>
      </c>
      <c r="R37" t="str">
        <f t="shared" si="0"/>
        <v>Apr-2024</v>
      </c>
      <c r="S37" t="str">
        <f>IF(Q37&gt;=50000,"Large",IF(Q37&gt;=20000,"Medium","Small"))</f>
        <v>Small</v>
      </c>
      <c r="T37">
        <f>VLOOKUP(Q37,Commission!$A$2:$B$6,2,TRUE)</f>
        <v>0.02</v>
      </c>
      <c r="U37">
        <f>Q37*T37</f>
        <v>65</v>
      </c>
      <c r="V37" t="str">
        <f>IF(AND(I37="Pending",Q37&gt;20000),"Follow Up","OK")</f>
        <v>OK</v>
      </c>
      <c r="W37" t="str">
        <f>_xlfn.XLOOKUP(C37,Customers!$A$2:$A$41,Customers!$D$2:$D$41)</f>
        <v>Home Office</v>
      </c>
    </row>
    <row r="38" spans="1:23" x14ac:dyDescent="0.3">
      <c r="A38" s="9" t="s">
        <v>412</v>
      </c>
      <c r="B38" s="10">
        <v>45588</v>
      </c>
      <c r="C38" s="9" t="s">
        <v>226</v>
      </c>
      <c r="D38" s="9" t="s">
        <v>227</v>
      </c>
      <c r="E38" s="9" t="s">
        <v>124</v>
      </c>
      <c r="F38" s="9" t="s">
        <v>131</v>
      </c>
      <c r="G38" s="9">
        <v>4</v>
      </c>
      <c r="H38" s="11">
        <v>0.1</v>
      </c>
      <c r="I38" s="9" t="s">
        <v>126</v>
      </c>
      <c r="J38" t="str">
        <f>PROPER(TRIM(F38))</f>
        <v>Reena Joshi</v>
      </c>
      <c r="K38" t="str">
        <f>PROPER(TRIM(E38))</f>
        <v>East</v>
      </c>
      <c r="L38" t="str">
        <f>TRIM(D38)</f>
        <v>P105</v>
      </c>
      <c r="M38" t="str">
        <f>IFERROR(VLOOKUP(L38,Products!$A$2:$D$21,2,FALSE),"Unknown Product")</f>
        <v>Smartwatch</v>
      </c>
      <c r="N38" t="str">
        <f>IFERROR(VLOOKUP(L38,Products!$A$2:$D$21,3,0),"Unknown ")</f>
        <v>Electronics</v>
      </c>
      <c r="O38">
        <f>IFERROR(VLOOKUP(L38,Products!$A$2:$D$21,4,0),0)</f>
        <v>9500</v>
      </c>
      <c r="P38" t="str">
        <f>IFERROR(INDEX(Customers!$C$2:$C$41,MATCH(C38,Customers!$A$2:$A$41,0)),"Unknown City")</f>
        <v>Hyderabad</v>
      </c>
      <c r="Q38" s="22">
        <f>G38*O38*(1-H38)</f>
        <v>34200</v>
      </c>
      <c r="R38" t="str">
        <f t="shared" si="0"/>
        <v>Oct-2024</v>
      </c>
      <c r="S38" t="str">
        <f>IF(Q38&gt;=50000,"Large",IF(Q38&gt;=20000,"Medium","Small"))</f>
        <v>Medium</v>
      </c>
      <c r="T38">
        <f>VLOOKUP(Q38,Commission!$A$2:$B$6,2,TRUE)</f>
        <v>0.04</v>
      </c>
      <c r="U38">
        <f>Q38*T38</f>
        <v>1368</v>
      </c>
      <c r="V38" t="str">
        <f>IF(AND(I38="Pending",Q38&gt;20000),"Follow Up","OK")</f>
        <v>OK</v>
      </c>
      <c r="W38" t="str">
        <f>_xlfn.XLOOKUP(C38,Customers!$A$2:$A$41,Customers!$D$2:$D$41)</f>
        <v>Consumer</v>
      </c>
    </row>
    <row r="39" spans="1:23" x14ac:dyDescent="0.3">
      <c r="A39" s="9" t="s">
        <v>346</v>
      </c>
      <c r="B39" s="10">
        <v>45425</v>
      </c>
      <c r="C39" s="9" t="s">
        <v>300</v>
      </c>
      <c r="D39" s="9" t="s">
        <v>209</v>
      </c>
      <c r="E39" s="9" t="s">
        <v>124</v>
      </c>
      <c r="F39" s="9" t="s">
        <v>125</v>
      </c>
      <c r="G39" s="9">
        <v>4</v>
      </c>
      <c r="H39" s="11">
        <v>0.05</v>
      </c>
      <c r="I39" s="9" t="s">
        <v>126</v>
      </c>
      <c r="J39" t="str">
        <f>PROPER(TRIM(F39))</f>
        <v>Pooja Nair</v>
      </c>
      <c r="K39" t="str">
        <f>PROPER(TRIM(E39))</f>
        <v>East</v>
      </c>
      <c r="L39" t="str">
        <f>TRIM(D39)</f>
        <v>P106</v>
      </c>
      <c r="M39" t="str">
        <f>IFERROR(VLOOKUP(L39,Products!$A$2:$D$21,2,FALSE),"Unknown Product")</f>
        <v>Office Chair</v>
      </c>
      <c r="N39" t="str">
        <f>IFERROR(VLOOKUP(L39,Products!$A$2:$D$21,3,0),"Unknown ")</f>
        <v>Furniture</v>
      </c>
      <c r="O39">
        <f>IFERROR(VLOOKUP(L39,Products!$A$2:$D$21,4,0),0)</f>
        <v>7500</v>
      </c>
      <c r="P39" t="str">
        <f>IFERROR(INDEX(Customers!$C$2:$C$41,MATCH(C39,Customers!$A$2:$A$41,0)),"Unknown City")</f>
        <v>Chennai</v>
      </c>
      <c r="Q39" s="22">
        <f>G39*O39*(1-H39)</f>
        <v>28500</v>
      </c>
      <c r="R39" t="str">
        <f t="shared" si="0"/>
        <v>May-2024</v>
      </c>
      <c r="S39" t="str">
        <f>IF(Q39&gt;=50000,"Large",IF(Q39&gt;=20000,"Medium","Small"))</f>
        <v>Medium</v>
      </c>
      <c r="T39">
        <f>VLOOKUP(Q39,Commission!$A$2:$B$6,2,TRUE)</f>
        <v>0.04</v>
      </c>
      <c r="U39">
        <f>Q39*T39</f>
        <v>1140</v>
      </c>
      <c r="V39" t="str">
        <f>IF(AND(I39="Pending",Q39&gt;20000),"Follow Up","OK")</f>
        <v>OK</v>
      </c>
      <c r="W39" t="str">
        <f>_xlfn.XLOOKUP(C39,Customers!$A$2:$A$41,Customers!$D$2:$D$41)</f>
        <v>Corporate</v>
      </c>
    </row>
    <row r="40" spans="1:23" x14ac:dyDescent="0.3">
      <c r="A40" s="9" t="s">
        <v>234</v>
      </c>
      <c r="B40" s="10">
        <v>45354</v>
      </c>
      <c r="C40" s="9" t="s">
        <v>230</v>
      </c>
      <c r="D40" s="9" t="s">
        <v>189</v>
      </c>
      <c r="E40" s="9" t="s">
        <v>124</v>
      </c>
      <c r="F40" s="9" t="s">
        <v>206</v>
      </c>
      <c r="G40" s="9">
        <v>4</v>
      </c>
      <c r="H40" s="11">
        <v>0.05</v>
      </c>
      <c r="I40" s="9" t="s">
        <v>126</v>
      </c>
      <c r="J40" t="str">
        <f>PROPER(TRIM(F40))</f>
        <v>Sunita Rao</v>
      </c>
      <c r="K40" t="str">
        <f>PROPER(TRIM(E40))</f>
        <v>East</v>
      </c>
      <c r="L40" t="str">
        <f>TRIM(D40)</f>
        <v>P115</v>
      </c>
      <c r="M40" t="str">
        <f>IFERROR(VLOOKUP(L40,Products!$A$2:$D$21,2,FALSE),"Unknown Product")</f>
        <v>Jacket</v>
      </c>
      <c r="N40" t="str">
        <f>IFERROR(VLOOKUP(L40,Products!$A$2:$D$21,3,0),"Unknown ")</f>
        <v>Clothing</v>
      </c>
      <c r="O40">
        <f>IFERROR(VLOOKUP(L40,Products!$A$2:$D$21,4,0),0)</f>
        <v>3800</v>
      </c>
      <c r="P40" t="str">
        <f>IFERROR(INDEX(Customers!$C$2:$C$41,MATCH(C40,Customers!$A$2:$A$41,0)),"Unknown City")</f>
        <v>Hyderabad</v>
      </c>
      <c r="Q40" s="22">
        <f>G40*O40*(1-H40)</f>
        <v>14440</v>
      </c>
      <c r="R40" t="str">
        <f t="shared" si="0"/>
        <v>Mar-2024</v>
      </c>
      <c r="S40" t="str">
        <f>IF(Q40&gt;=50000,"Large",IF(Q40&gt;=20000,"Medium","Small"))</f>
        <v>Small</v>
      </c>
      <c r="T40">
        <f>VLOOKUP(Q40,Commission!$A$2:$B$6,2,TRUE)</f>
        <v>0.03</v>
      </c>
      <c r="U40">
        <f>Q40*T40</f>
        <v>433.2</v>
      </c>
      <c r="V40" t="str">
        <f>IF(AND(I40="Pending",Q40&gt;20000),"Follow Up","OK")</f>
        <v>OK</v>
      </c>
      <c r="W40" t="str">
        <f>_xlfn.XLOOKUP(C40,Customers!$A$2:$A$41,Customers!$D$2:$D$41)</f>
        <v>Corporate</v>
      </c>
    </row>
    <row r="41" spans="1:23" x14ac:dyDescent="0.3">
      <c r="A41" s="9" t="s">
        <v>196</v>
      </c>
      <c r="B41" s="10">
        <v>45551</v>
      </c>
      <c r="C41" s="9" t="s">
        <v>197</v>
      </c>
      <c r="D41" s="9" t="s">
        <v>159</v>
      </c>
      <c r="E41" s="9" t="s">
        <v>124</v>
      </c>
      <c r="F41" s="9" t="s">
        <v>164</v>
      </c>
      <c r="G41" s="9">
        <v>4</v>
      </c>
      <c r="H41" s="11">
        <v>0</v>
      </c>
      <c r="I41" s="9" t="s">
        <v>165</v>
      </c>
      <c r="J41" t="str">
        <f>PROPER(TRIM(F41))</f>
        <v>Amit Verma</v>
      </c>
      <c r="K41" t="str">
        <f>PROPER(TRIM(E41))</f>
        <v>East</v>
      </c>
      <c r="L41" t="str">
        <f>TRIM(D41)</f>
        <v>P111</v>
      </c>
      <c r="M41" t="str">
        <f>IFERROR(VLOOKUP(L41,Products!$A$2:$D$21,2,FALSE),"Unknown Product")</f>
        <v>Green Tea</v>
      </c>
      <c r="N41" t="str">
        <f>IFERROR(VLOOKUP(L41,Products!$A$2:$D$21,3,0),"Unknown ")</f>
        <v>Grocery</v>
      </c>
      <c r="O41">
        <f>IFERROR(VLOOKUP(L41,Products!$A$2:$D$21,4,0),0)</f>
        <v>420</v>
      </c>
      <c r="P41" t="str">
        <f>IFERROR(INDEX(Customers!$C$2:$C$41,MATCH(C41,Customers!$A$2:$A$41,0)),"Unknown City")</f>
        <v>Chennai</v>
      </c>
      <c r="Q41" s="22">
        <f>G41*O41*(1-H41)</f>
        <v>1680</v>
      </c>
      <c r="R41" t="str">
        <f t="shared" si="0"/>
        <v>Sep-2024</v>
      </c>
      <c r="S41" t="str">
        <f>IF(Q41&gt;=50000,"Large",IF(Q41&gt;=20000,"Medium","Small"))</f>
        <v>Small</v>
      </c>
      <c r="T41">
        <f>VLOOKUP(Q41,Commission!$A$2:$B$6,2,TRUE)</f>
        <v>0.02</v>
      </c>
      <c r="U41">
        <f>Q41*T41</f>
        <v>33.6</v>
      </c>
      <c r="V41" t="str">
        <f>IF(AND(I41="Pending",Q41&gt;20000),"Follow Up","OK")</f>
        <v>OK</v>
      </c>
      <c r="W41" t="str">
        <f>_xlfn.XLOOKUP(C41,Customers!$A$2:$A$41,Customers!$D$2:$D$41)</f>
        <v>Home Office</v>
      </c>
    </row>
    <row r="42" spans="1:23" x14ac:dyDescent="0.3">
      <c r="A42" s="9" t="s">
        <v>273</v>
      </c>
      <c r="B42" s="10">
        <v>45471</v>
      </c>
      <c r="C42" s="9" t="s">
        <v>199</v>
      </c>
      <c r="D42" s="9" t="s">
        <v>242</v>
      </c>
      <c r="E42" s="9" t="s">
        <v>124</v>
      </c>
      <c r="F42" s="9" t="s">
        <v>160</v>
      </c>
      <c r="G42" s="9">
        <v>3</v>
      </c>
      <c r="H42" s="11">
        <v>0</v>
      </c>
      <c r="I42" s="9" t="s">
        <v>126</v>
      </c>
      <c r="J42" t="str">
        <f>PROPER(TRIM(F42))</f>
        <v>Latha Menon</v>
      </c>
      <c r="K42" t="str">
        <f>PROPER(TRIM(E42))</f>
        <v>East</v>
      </c>
      <c r="L42" t="str">
        <f>TRIM(D42)</f>
        <v>P102</v>
      </c>
      <c r="M42" t="str">
        <f>IFERROR(VLOOKUP(L42,Products!$A$2:$D$21,2,FALSE),"Unknown Product")</f>
        <v>Smartphone</v>
      </c>
      <c r="N42" t="str">
        <f>IFERROR(VLOOKUP(L42,Products!$A$2:$D$21,3,0),"Unknown ")</f>
        <v>Electronics</v>
      </c>
      <c r="O42">
        <f>IFERROR(VLOOKUP(L42,Products!$A$2:$D$21,4,0),0)</f>
        <v>28000</v>
      </c>
      <c r="P42" t="str">
        <f>IFERROR(INDEX(Customers!$C$2:$C$41,MATCH(C42,Customers!$A$2:$A$41,0)),"Unknown City")</f>
        <v>Delhi</v>
      </c>
      <c r="Q42" s="22">
        <f>G42*O42*(1-H42)</f>
        <v>84000</v>
      </c>
      <c r="R42" t="str">
        <f t="shared" si="0"/>
        <v>Jun-2024</v>
      </c>
      <c r="S42" t="str">
        <f>IF(Q42&gt;=50000,"Large",IF(Q42&gt;=20000,"Medium","Small"))</f>
        <v>Large</v>
      </c>
      <c r="T42">
        <f>VLOOKUP(Q42,Commission!$A$2:$B$6,2,TRUE)</f>
        <v>0.05</v>
      </c>
      <c r="U42">
        <f>Q42*T42</f>
        <v>4200</v>
      </c>
      <c r="V42" t="str">
        <f>IF(AND(I42="Pending",Q42&gt;20000),"Follow Up","OK")</f>
        <v>OK</v>
      </c>
      <c r="W42" t="str">
        <f>_xlfn.XLOOKUP(C42,Customers!$A$2:$A$41,Customers!$D$2:$D$41)</f>
        <v>Consumer</v>
      </c>
    </row>
    <row r="43" spans="1:23" x14ac:dyDescent="0.3">
      <c r="A43" s="9" t="s">
        <v>415</v>
      </c>
      <c r="B43" s="10">
        <v>45530</v>
      </c>
      <c r="C43" s="9" t="s">
        <v>178</v>
      </c>
      <c r="D43" s="9" t="s">
        <v>143</v>
      </c>
      <c r="E43" s="9" t="s">
        <v>124</v>
      </c>
      <c r="F43" s="9" t="s">
        <v>206</v>
      </c>
      <c r="G43" s="9">
        <v>3</v>
      </c>
      <c r="H43" s="11">
        <v>0</v>
      </c>
      <c r="I43" s="9" t="s">
        <v>126</v>
      </c>
      <c r="J43" t="str">
        <f>PROPER(TRIM(F43))</f>
        <v>Sunita Rao</v>
      </c>
      <c r="K43" t="str">
        <f>PROPER(TRIM(E43))</f>
        <v>East</v>
      </c>
      <c r="L43" t="str">
        <f>TRIM(D43)</f>
        <v>P116</v>
      </c>
      <c r="M43" t="str">
        <f>IFERROR(VLOOKUP(L43,Products!$A$2:$D$21,2,FALSE),"Unknown Product")</f>
        <v>Sneakers</v>
      </c>
      <c r="N43" t="str">
        <f>IFERROR(VLOOKUP(L43,Products!$A$2:$D$21,3,0),"Unknown ")</f>
        <v>Clothing</v>
      </c>
      <c r="O43">
        <f>IFERROR(VLOOKUP(L43,Products!$A$2:$D$21,4,0),0)</f>
        <v>4500</v>
      </c>
      <c r="P43" t="str">
        <f>IFERROR(INDEX(Customers!$C$2:$C$41,MATCH(C43,Customers!$A$2:$A$41,0)),"Unknown City")</f>
        <v>Kolkata</v>
      </c>
      <c r="Q43" s="22">
        <f>G43*O43*(1-H43)</f>
        <v>13500</v>
      </c>
      <c r="R43" t="str">
        <f t="shared" si="0"/>
        <v>Aug-2024</v>
      </c>
      <c r="S43" t="str">
        <f>IF(Q43&gt;=50000,"Large",IF(Q43&gt;=20000,"Medium","Small"))</f>
        <v>Small</v>
      </c>
      <c r="T43">
        <f>VLOOKUP(Q43,Commission!$A$2:$B$6,2,TRUE)</f>
        <v>0.03</v>
      </c>
      <c r="U43">
        <f>Q43*T43</f>
        <v>405</v>
      </c>
      <c r="V43" t="str">
        <f>IF(AND(I43="Pending",Q43&gt;20000),"Follow Up","OK")</f>
        <v>OK</v>
      </c>
      <c r="W43" t="str">
        <f>_xlfn.XLOOKUP(C43,Customers!$A$2:$A$41,Customers!$D$2:$D$41)</f>
        <v>Corporate</v>
      </c>
    </row>
    <row r="44" spans="1:23" x14ac:dyDescent="0.3">
      <c r="A44" s="9" t="s">
        <v>248</v>
      </c>
      <c r="B44" s="10">
        <v>45393</v>
      </c>
      <c r="C44" s="9" t="s">
        <v>167</v>
      </c>
      <c r="D44" s="9" t="s">
        <v>138</v>
      </c>
      <c r="E44" s="9" t="s">
        <v>124</v>
      </c>
      <c r="F44" s="9" t="s">
        <v>164</v>
      </c>
      <c r="G44" s="9">
        <v>3</v>
      </c>
      <c r="H44" s="11">
        <v>0</v>
      </c>
      <c r="I44" s="9" t="s">
        <v>126</v>
      </c>
      <c r="J44" t="str">
        <f>PROPER(TRIM(F44))</f>
        <v>Amit Verma</v>
      </c>
      <c r="K44" t="str">
        <f>PROPER(TRIM(E44))</f>
        <v>East</v>
      </c>
      <c r="L44" t="str">
        <f>TRIM(D44)</f>
        <v>P113</v>
      </c>
      <c r="M44" t="str">
        <f>IFERROR(VLOOKUP(L44,Products!$A$2:$D$21,2,FALSE),"Unknown Product")</f>
        <v>Protein Bar Box</v>
      </c>
      <c r="N44" t="str">
        <f>IFERROR(VLOOKUP(L44,Products!$A$2:$D$21,3,0),"Unknown ")</f>
        <v>Grocery</v>
      </c>
      <c r="O44">
        <f>IFERROR(VLOOKUP(L44,Products!$A$2:$D$21,4,0),0)</f>
        <v>1200</v>
      </c>
      <c r="P44" t="str">
        <f>IFERROR(INDEX(Customers!$C$2:$C$41,MATCH(C44,Customers!$A$2:$A$41,0)),"Unknown City")</f>
        <v>Bengaluru</v>
      </c>
      <c r="Q44" s="22">
        <f>G44*O44*(1-H44)</f>
        <v>3600</v>
      </c>
      <c r="R44" t="str">
        <f t="shared" si="0"/>
        <v>Apr-2024</v>
      </c>
      <c r="S44" t="str">
        <f>IF(Q44&gt;=50000,"Large",IF(Q44&gt;=20000,"Medium","Small"))</f>
        <v>Small</v>
      </c>
      <c r="T44">
        <f>VLOOKUP(Q44,Commission!$A$2:$B$6,2,TRUE)</f>
        <v>0.02</v>
      </c>
      <c r="U44">
        <f>Q44*T44</f>
        <v>72</v>
      </c>
      <c r="V44" t="str">
        <f>IF(AND(I44="Pending",Q44&gt;20000),"Follow Up","OK")</f>
        <v>OK</v>
      </c>
      <c r="W44" t="str">
        <f>_xlfn.XLOOKUP(C44,Customers!$A$2:$A$41,Customers!$D$2:$D$41)</f>
        <v>Consumer</v>
      </c>
    </row>
    <row r="45" spans="1:23" x14ac:dyDescent="0.3">
      <c r="A45" s="9" t="s">
        <v>372</v>
      </c>
      <c r="B45" s="10">
        <v>45607</v>
      </c>
      <c r="C45" s="9" t="s">
        <v>169</v>
      </c>
      <c r="D45" s="9" t="s">
        <v>133</v>
      </c>
      <c r="E45" s="9" t="s">
        <v>124</v>
      </c>
      <c r="F45" s="9" t="s">
        <v>164</v>
      </c>
      <c r="G45" s="9">
        <v>3</v>
      </c>
      <c r="H45" s="11">
        <v>0.05</v>
      </c>
      <c r="I45" s="9" t="s">
        <v>126</v>
      </c>
      <c r="J45" t="str">
        <f>PROPER(TRIM(F45))</f>
        <v>Amit Verma</v>
      </c>
      <c r="K45" t="str">
        <f>PROPER(TRIM(E45))</f>
        <v>East</v>
      </c>
      <c r="L45" t="str">
        <f>TRIM(D45)</f>
        <v>P114</v>
      </c>
      <c r="M45" t="str">
        <f>IFERROR(VLOOKUP(L45,Products!$A$2:$D$21,2,FALSE),"Unknown Product")</f>
        <v>Almonds 1kg</v>
      </c>
      <c r="N45" t="str">
        <f>IFERROR(VLOOKUP(L45,Products!$A$2:$D$21,3,0),"Unknown ")</f>
        <v>Grocery</v>
      </c>
      <c r="O45">
        <f>IFERROR(VLOOKUP(L45,Products!$A$2:$D$21,4,0),0)</f>
        <v>850</v>
      </c>
      <c r="P45" t="str">
        <f>IFERROR(INDEX(Customers!$C$2:$C$41,MATCH(C45,Customers!$A$2:$A$41,0)),"Unknown City")</f>
        <v>Bengaluru</v>
      </c>
      <c r="Q45" s="22">
        <f>G45*O45*(1-H45)</f>
        <v>2422.5</v>
      </c>
      <c r="R45" t="str">
        <f t="shared" si="0"/>
        <v>Nov-2024</v>
      </c>
      <c r="S45" t="str">
        <f>IF(Q45&gt;=50000,"Large",IF(Q45&gt;=20000,"Medium","Small"))</f>
        <v>Small</v>
      </c>
      <c r="T45">
        <f>VLOOKUP(Q45,Commission!$A$2:$B$6,2,TRUE)</f>
        <v>0.02</v>
      </c>
      <c r="U45">
        <f>Q45*T45</f>
        <v>48.45</v>
      </c>
      <c r="V45" t="str">
        <f>IF(AND(I45="Pending",Q45&gt;20000),"Follow Up","OK")</f>
        <v>OK</v>
      </c>
      <c r="W45" t="str">
        <f>_xlfn.XLOOKUP(C45,Customers!$A$2:$A$41,Customers!$D$2:$D$41)</f>
        <v>Consumer</v>
      </c>
    </row>
    <row r="46" spans="1:23" x14ac:dyDescent="0.3">
      <c r="A46" s="9" t="s">
        <v>353</v>
      </c>
      <c r="B46" s="10">
        <v>45545</v>
      </c>
      <c r="C46" s="9" t="s">
        <v>271</v>
      </c>
      <c r="D46" s="9" t="s">
        <v>246</v>
      </c>
      <c r="E46" s="9" t="s">
        <v>124</v>
      </c>
      <c r="F46" s="9" t="s">
        <v>164</v>
      </c>
      <c r="G46" s="9">
        <v>3</v>
      </c>
      <c r="H46" s="11">
        <v>0.05</v>
      </c>
      <c r="I46" s="9" t="s">
        <v>126</v>
      </c>
      <c r="J46" t="str">
        <f>PROPER(TRIM(F46))</f>
        <v>Amit Verma</v>
      </c>
      <c r="K46" t="str">
        <f>PROPER(TRIM(E46))</f>
        <v>East</v>
      </c>
      <c r="L46" t="str">
        <f>TRIM(D46)</f>
        <v>P999</v>
      </c>
      <c r="M46" t="str">
        <f>IFERROR(VLOOKUP(L46,Products!$A$2:$D$21,2,FALSE),"Unknown Product")</f>
        <v>Unknown Product</v>
      </c>
      <c r="N46" t="str">
        <f>IFERROR(VLOOKUP(L46,Products!$A$2:$D$21,3,0),"Unknown ")</f>
        <v xml:space="preserve">Unknown </v>
      </c>
      <c r="O46">
        <f>IFERROR(VLOOKUP(L46,Products!$A$2:$D$21,4,0),0)</f>
        <v>0</v>
      </c>
      <c r="P46" t="str">
        <f>IFERROR(INDEX(Customers!$C$2:$C$41,MATCH(C46,Customers!$A$2:$A$41,0)),"Unknown City")</f>
        <v>Chennai</v>
      </c>
      <c r="Q46" s="22">
        <f>G46*O46*(1-H46)</f>
        <v>0</v>
      </c>
      <c r="R46" t="str">
        <f t="shared" si="0"/>
        <v>Sep-2024</v>
      </c>
      <c r="S46" t="str">
        <f>IF(Q46&gt;=50000,"Large",IF(Q46&gt;=20000,"Medium","Small"))</f>
        <v>Small</v>
      </c>
      <c r="T46">
        <f>VLOOKUP(Q46,Commission!$A$2:$B$6,2,TRUE)</f>
        <v>0.02</v>
      </c>
      <c r="U46">
        <f>Q46*T46</f>
        <v>0</v>
      </c>
      <c r="V46" t="str">
        <f>IF(AND(I46="Pending",Q46&gt;20000),"Follow Up","OK")</f>
        <v>OK</v>
      </c>
      <c r="W46" t="str">
        <f>_xlfn.XLOOKUP(C46,Customers!$A$2:$A$41,Customers!$D$2:$D$41)</f>
        <v>Corporate</v>
      </c>
    </row>
    <row r="47" spans="1:23" x14ac:dyDescent="0.3">
      <c r="A47" s="9" t="s">
        <v>240</v>
      </c>
      <c r="B47" s="10">
        <v>45410</v>
      </c>
      <c r="C47" s="9" t="s">
        <v>239</v>
      </c>
      <c r="D47" s="9" t="s">
        <v>192</v>
      </c>
      <c r="E47" s="9" t="s">
        <v>124</v>
      </c>
      <c r="F47" s="9" t="s">
        <v>135</v>
      </c>
      <c r="G47" s="9">
        <v>2</v>
      </c>
      <c r="H47" s="11">
        <v>0.1</v>
      </c>
      <c r="I47" s="9" t="s">
        <v>165</v>
      </c>
      <c r="J47" t="str">
        <f>PROPER(TRIM(F47))</f>
        <v>Manoj Das</v>
      </c>
      <c r="K47" t="str">
        <f>PROPER(TRIM(E47))</f>
        <v>East</v>
      </c>
      <c r="L47" t="str">
        <f>TRIM(D47)</f>
        <v>P108</v>
      </c>
      <c r="M47" t="str">
        <f>IFERROR(VLOOKUP(L47,Products!$A$2:$D$21,2,FALSE),"Unknown Product")</f>
        <v>Bookshelf</v>
      </c>
      <c r="N47" t="str">
        <f>IFERROR(VLOOKUP(L47,Products!$A$2:$D$21,3,0),"Unknown ")</f>
        <v>Furniture</v>
      </c>
      <c r="O47">
        <f>IFERROR(VLOOKUP(L47,Products!$A$2:$D$21,4,0),0)</f>
        <v>6200</v>
      </c>
      <c r="P47" t="str">
        <f>IFERROR(INDEX(Customers!$C$2:$C$41,MATCH(C47,Customers!$A$2:$A$41,0)),"Unknown City")</f>
        <v>Kolkata</v>
      </c>
      <c r="Q47" s="22">
        <f>G47*O47*(1-H47)</f>
        <v>11160</v>
      </c>
      <c r="R47" t="str">
        <f t="shared" si="0"/>
        <v>Apr-2024</v>
      </c>
      <c r="S47" t="str">
        <f>IF(Q47&gt;=50000,"Large",IF(Q47&gt;=20000,"Medium","Small"))</f>
        <v>Small</v>
      </c>
      <c r="T47">
        <f>VLOOKUP(Q47,Commission!$A$2:$B$6,2,TRUE)</f>
        <v>0.03</v>
      </c>
      <c r="U47">
        <f>Q47*T47</f>
        <v>334.8</v>
      </c>
      <c r="V47" t="str">
        <f>IF(AND(I47="Pending",Q47&gt;20000),"Follow Up","OK")</f>
        <v>OK</v>
      </c>
      <c r="W47" t="str">
        <f>_xlfn.XLOOKUP(C47,Customers!$A$2:$A$41,Customers!$D$2:$D$41)</f>
        <v>Home Office</v>
      </c>
    </row>
    <row r="48" spans="1:23" x14ac:dyDescent="0.3">
      <c r="A48" s="9" t="s">
        <v>229</v>
      </c>
      <c r="B48" s="10">
        <v>45386</v>
      </c>
      <c r="C48" s="9" t="s">
        <v>230</v>
      </c>
      <c r="D48" s="9" t="s">
        <v>189</v>
      </c>
      <c r="E48" s="9" t="s">
        <v>124</v>
      </c>
      <c r="F48" s="9" t="s">
        <v>206</v>
      </c>
      <c r="G48" s="9">
        <v>2</v>
      </c>
      <c r="H48" s="11">
        <v>0</v>
      </c>
      <c r="I48" s="9" t="s">
        <v>126</v>
      </c>
      <c r="J48" t="str">
        <f>PROPER(TRIM(F48))</f>
        <v>Sunita Rao</v>
      </c>
      <c r="K48" t="str">
        <f>PROPER(TRIM(E48))</f>
        <v>East</v>
      </c>
      <c r="L48" t="str">
        <f>TRIM(D48)</f>
        <v>P115</v>
      </c>
      <c r="M48" t="str">
        <f>IFERROR(VLOOKUP(L48,Products!$A$2:$D$21,2,FALSE),"Unknown Product")</f>
        <v>Jacket</v>
      </c>
      <c r="N48" t="str">
        <f>IFERROR(VLOOKUP(L48,Products!$A$2:$D$21,3,0),"Unknown ")</f>
        <v>Clothing</v>
      </c>
      <c r="O48">
        <f>IFERROR(VLOOKUP(L48,Products!$A$2:$D$21,4,0),0)</f>
        <v>3800</v>
      </c>
      <c r="P48" t="str">
        <f>IFERROR(INDEX(Customers!$C$2:$C$41,MATCH(C48,Customers!$A$2:$A$41,0)),"Unknown City")</f>
        <v>Hyderabad</v>
      </c>
      <c r="Q48" s="22">
        <f>G48*O48*(1-H48)</f>
        <v>7600</v>
      </c>
      <c r="R48" t="str">
        <f t="shared" si="0"/>
        <v>Apr-2024</v>
      </c>
      <c r="S48" t="str">
        <f>IF(Q48&gt;=50000,"Large",IF(Q48&gt;=20000,"Medium","Small"))</f>
        <v>Small</v>
      </c>
      <c r="T48">
        <f>VLOOKUP(Q48,Commission!$A$2:$B$6,2,TRUE)</f>
        <v>0.02</v>
      </c>
      <c r="U48">
        <f>Q48*T48</f>
        <v>152</v>
      </c>
      <c r="V48" t="str">
        <f>IF(AND(I48="Pending",Q48&gt;20000),"Follow Up","OK")</f>
        <v>OK</v>
      </c>
      <c r="W48" t="str">
        <f>_xlfn.XLOOKUP(C48,Customers!$A$2:$A$41,Customers!$D$2:$D$41)</f>
        <v>Corporate</v>
      </c>
    </row>
    <row r="49" spans="1:23" x14ac:dyDescent="0.3">
      <c r="A49" s="9" t="s">
        <v>428</v>
      </c>
      <c r="B49" s="10">
        <v>45368</v>
      </c>
      <c r="C49" s="9" t="s">
        <v>122</v>
      </c>
      <c r="D49" s="9" t="s">
        <v>174</v>
      </c>
      <c r="E49" s="9" t="s">
        <v>124</v>
      </c>
      <c r="F49" s="9" t="s">
        <v>131</v>
      </c>
      <c r="G49" s="9">
        <v>2</v>
      </c>
      <c r="H49" s="11">
        <v>0</v>
      </c>
      <c r="I49" s="9" t="s">
        <v>165</v>
      </c>
      <c r="J49" t="str">
        <f>PROPER(TRIM(F49))</f>
        <v>Reena Joshi</v>
      </c>
      <c r="K49" t="str">
        <f>PROPER(TRIM(E49))</f>
        <v>East</v>
      </c>
      <c r="L49" t="str">
        <f>TRIM(D49)</f>
        <v>P112</v>
      </c>
      <c r="M49" t="str">
        <f>IFERROR(VLOOKUP(L49,Products!$A$2:$D$21,2,FALSE),"Unknown Product")</f>
        <v>Olive Oil</v>
      </c>
      <c r="N49" t="str">
        <f>IFERROR(VLOOKUP(L49,Products!$A$2:$D$21,3,0),"Unknown ")</f>
        <v>Grocery</v>
      </c>
      <c r="O49">
        <f>IFERROR(VLOOKUP(L49,Products!$A$2:$D$21,4,0),0)</f>
        <v>980</v>
      </c>
      <c r="P49" t="str">
        <f>IFERROR(INDEX(Customers!$C$2:$C$41,MATCH(C49,Customers!$A$2:$A$41,0)),"Unknown City")</f>
        <v>Pune</v>
      </c>
      <c r="Q49" s="22">
        <f>G49*O49*(1-H49)</f>
        <v>1960</v>
      </c>
      <c r="R49" t="str">
        <f t="shared" si="0"/>
        <v>Mar-2024</v>
      </c>
      <c r="S49" t="str">
        <f>IF(Q49&gt;=50000,"Large",IF(Q49&gt;=20000,"Medium","Small"))</f>
        <v>Small</v>
      </c>
      <c r="T49">
        <f>VLOOKUP(Q49,Commission!$A$2:$B$6,2,TRUE)</f>
        <v>0.02</v>
      </c>
      <c r="U49">
        <f>Q49*T49</f>
        <v>39.200000000000003</v>
      </c>
      <c r="V49" t="str">
        <f>IF(AND(I49="Pending",Q49&gt;20000),"Follow Up","OK")</f>
        <v>OK</v>
      </c>
      <c r="W49" t="str">
        <f>_xlfn.XLOOKUP(C49,Customers!$A$2:$A$41,Customers!$D$2:$D$41)</f>
        <v>Corporate</v>
      </c>
    </row>
    <row r="50" spans="1:23" x14ac:dyDescent="0.3">
      <c r="A50" s="9" t="s">
        <v>291</v>
      </c>
      <c r="B50" s="10">
        <v>45381</v>
      </c>
      <c r="C50" s="9" t="s">
        <v>226</v>
      </c>
      <c r="D50" s="9" t="s">
        <v>219</v>
      </c>
      <c r="E50" s="9" t="s">
        <v>124</v>
      </c>
      <c r="F50" s="9" t="s">
        <v>140</v>
      </c>
      <c r="G50" s="9">
        <v>1</v>
      </c>
      <c r="H50" s="11">
        <v>0</v>
      </c>
      <c r="I50" s="9" t="s">
        <v>126</v>
      </c>
      <c r="J50" t="str">
        <f>PROPER(TRIM(F50))</f>
        <v>Pooja Nair</v>
      </c>
      <c r="K50" t="str">
        <f>PROPER(TRIM(E50))</f>
        <v>East</v>
      </c>
      <c r="L50" t="str">
        <f>TRIM(D50)</f>
        <v>P104</v>
      </c>
      <c r="M50" t="str">
        <f>IFERROR(VLOOKUP(L50,Products!$A$2:$D$21,2,FALSE),"Unknown Product")</f>
        <v>Tablet</v>
      </c>
      <c r="N50" t="str">
        <f>IFERROR(VLOOKUP(L50,Products!$A$2:$D$21,3,0),"Unknown ")</f>
        <v>Electronics</v>
      </c>
      <c r="O50">
        <f>IFERROR(VLOOKUP(L50,Products!$A$2:$D$21,4,0),0)</f>
        <v>32000</v>
      </c>
      <c r="P50" t="str">
        <f>IFERROR(INDEX(Customers!$C$2:$C$41,MATCH(C50,Customers!$A$2:$A$41,0)),"Unknown City")</f>
        <v>Hyderabad</v>
      </c>
      <c r="Q50" s="22">
        <f>G50*O50*(1-H50)</f>
        <v>32000</v>
      </c>
      <c r="R50" t="str">
        <f t="shared" si="0"/>
        <v>Mar-2024</v>
      </c>
      <c r="S50" t="str">
        <f>IF(Q50&gt;=50000,"Large",IF(Q50&gt;=20000,"Medium","Small"))</f>
        <v>Medium</v>
      </c>
      <c r="T50">
        <f>VLOOKUP(Q50,Commission!$A$2:$B$6,2,TRUE)</f>
        <v>0.04</v>
      </c>
      <c r="U50">
        <f>Q50*T50</f>
        <v>1280</v>
      </c>
      <c r="V50" t="str">
        <f>IF(AND(I50="Pending",Q50&gt;20000),"Follow Up","OK")</f>
        <v>OK</v>
      </c>
      <c r="W50" t="str">
        <f>_xlfn.XLOOKUP(C50,Customers!$A$2:$A$41,Customers!$D$2:$D$41)</f>
        <v>Consumer</v>
      </c>
    </row>
    <row r="51" spans="1:23" x14ac:dyDescent="0.3">
      <c r="A51" s="9" t="s">
        <v>327</v>
      </c>
      <c r="B51" s="10">
        <v>45511</v>
      </c>
      <c r="C51" s="9" t="s">
        <v>304</v>
      </c>
      <c r="D51" s="9" t="s">
        <v>275</v>
      </c>
      <c r="E51" s="9" t="s">
        <v>328</v>
      </c>
      <c r="F51" s="9" t="s">
        <v>206</v>
      </c>
      <c r="G51" s="9">
        <v>1</v>
      </c>
      <c r="H51" s="11">
        <v>0.15</v>
      </c>
      <c r="I51" s="9" t="s">
        <v>126</v>
      </c>
      <c r="J51" t="str">
        <f>PROPER(TRIM(F51))</f>
        <v>Sunita Rao</v>
      </c>
      <c r="K51" t="str">
        <f>PROPER(TRIM(E51))</f>
        <v>East</v>
      </c>
      <c r="L51" t="str">
        <f>TRIM(D51)</f>
        <v>P102</v>
      </c>
      <c r="M51" t="str">
        <f>IFERROR(VLOOKUP(L51,Products!$A$2:$D$21,2,FALSE),"Unknown Product")</f>
        <v>Smartphone</v>
      </c>
      <c r="N51" t="str">
        <f>IFERROR(VLOOKUP(L51,Products!$A$2:$D$21,3,0),"Unknown ")</f>
        <v>Electronics</v>
      </c>
      <c r="O51">
        <f>IFERROR(VLOOKUP(L51,Products!$A$2:$D$21,4,0),0)</f>
        <v>28000</v>
      </c>
      <c r="P51" t="str">
        <f>IFERROR(INDEX(Customers!$C$2:$C$41,MATCH(C51,Customers!$A$2:$A$41,0)),"Unknown City")</f>
        <v>Chennai</v>
      </c>
      <c r="Q51" s="22">
        <f>G51*O51*(1-H51)</f>
        <v>23800</v>
      </c>
      <c r="R51" t="str">
        <f t="shared" si="0"/>
        <v>Aug-2024</v>
      </c>
      <c r="S51" t="str">
        <f>IF(Q51&gt;=50000,"Large",IF(Q51&gt;=20000,"Medium","Small"))</f>
        <v>Medium</v>
      </c>
      <c r="T51">
        <f>VLOOKUP(Q51,Commission!$A$2:$B$6,2,TRUE)</f>
        <v>0.03</v>
      </c>
      <c r="U51">
        <f>Q51*T51</f>
        <v>714</v>
      </c>
      <c r="V51" t="str">
        <f>IF(AND(I51="Pending",Q51&gt;20000),"Follow Up","OK")</f>
        <v>OK</v>
      </c>
      <c r="W51" t="str">
        <f>_xlfn.XLOOKUP(C51,Customers!$A$2:$A$41,Customers!$D$2:$D$41)</f>
        <v>Corporate</v>
      </c>
    </row>
    <row r="52" spans="1:23" x14ac:dyDescent="0.3">
      <c r="A52" s="9" t="s">
        <v>391</v>
      </c>
      <c r="B52" s="10">
        <v>45522</v>
      </c>
      <c r="C52" s="9" t="s">
        <v>150</v>
      </c>
      <c r="D52" s="9" t="s">
        <v>227</v>
      </c>
      <c r="E52" s="9" t="s">
        <v>124</v>
      </c>
      <c r="F52" s="9" t="s">
        <v>131</v>
      </c>
      <c r="G52" s="9">
        <v>1</v>
      </c>
      <c r="H52" s="11">
        <v>0.1</v>
      </c>
      <c r="I52" s="9" t="s">
        <v>126</v>
      </c>
      <c r="J52" t="str">
        <f>PROPER(TRIM(F52))</f>
        <v>Reena Joshi</v>
      </c>
      <c r="K52" t="str">
        <f>PROPER(TRIM(E52))</f>
        <v>East</v>
      </c>
      <c r="L52" t="str">
        <f>TRIM(D52)</f>
        <v>P105</v>
      </c>
      <c r="M52" t="str">
        <f>IFERROR(VLOOKUP(L52,Products!$A$2:$D$21,2,FALSE),"Unknown Product")</f>
        <v>Smartwatch</v>
      </c>
      <c r="N52" t="str">
        <f>IFERROR(VLOOKUP(L52,Products!$A$2:$D$21,3,0),"Unknown ")</f>
        <v>Electronics</v>
      </c>
      <c r="O52">
        <f>IFERROR(VLOOKUP(L52,Products!$A$2:$D$21,4,0),0)</f>
        <v>9500</v>
      </c>
      <c r="P52" t="str">
        <f>IFERROR(INDEX(Customers!$C$2:$C$41,MATCH(C52,Customers!$A$2:$A$41,0)),"Unknown City")</f>
        <v>Kolkata</v>
      </c>
      <c r="Q52" s="22">
        <f>G52*O52*(1-H52)</f>
        <v>8550</v>
      </c>
      <c r="R52" t="str">
        <f t="shared" si="0"/>
        <v>Aug-2024</v>
      </c>
      <c r="S52" t="str">
        <f>IF(Q52&gt;=50000,"Large",IF(Q52&gt;=20000,"Medium","Small"))</f>
        <v>Small</v>
      </c>
      <c r="T52">
        <f>VLOOKUP(Q52,Commission!$A$2:$B$6,2,TRUE)</f>
        <v>0.02</v>
      </c>
      <c r="U52">
        <f>Q52*T52</f>
        <v>171</v>
      </c>
      <c r="V52" t="str">
        <f>IF(AND(I52="Pending",Q52&gt;20000),"Follow Up","OK")</f>
        <v>OK</v>
      </c>
      <c r="W52" t="str">
        <f>_xlfn.XLOOKUP(C52,Customers!$A$2:$A$41,Customers!$D$2:$D$41)</f>
        <v>Corporate</v>
      </c>
    </row>
    <row r="53" spans="1:23" x14ac:dyDescent="0.3">
      <c r="A53" s="9" t="s">
        <v>236</v>
      </c>
      <c r="B53" s="10">
        <v>45409</v>
      </c>
      <c r="C53" s="9" t="s">
        <v>142</v>
      </c>
      <c r="D53" s="9" t="s">
        <v>185</v>
      </c>
      <c r="E53" s="9" t="s">
        <v>124</v>
      </c>
      <c r="F53" s="9" t="s">
        <v>135</v>
      </c>
      <c r="G53" s="9">
        <v>1</v>
      </c>
      <c r="H53" s="11">
        <v>0</v>
      </c>
      <c r="I53" s="9" t="s">
        <v>126</v>
      </c>
      <c r="J53" t="str">
        <f>PROPER(TRIM(F53))</f>
        <v>Manoj Das</v>
      </c>
      <c r="K53" t="str">
        <f>PROPER(TRIM(E53))</f>
        <v>East</v>
      </c>
      <c r="L53" t="str">
        <f>TRIM(D53)</f>
        <v>P103</v>
      </c>
      <c r="M53" t="str">
        <f>IFERROR(VLOOKUP(L53,Products!$A$2:$D$21,2,FALSE),"Unknown Product")</f>
        <v>Headphones</v>
      </c>
      <c r="N53" t="str">
        <f>IFERROR(VLOOKUP(L53,Products!$A$2:$D$21,3,0),"Unknown ")</f>
        <v>Electronics</v>
      </c>
      <c r="O53">
        <f>IFERROR(VLOOKUP(L53,Products!$A$2:$D$21,4,0),0)</f>
        <v>3500</v>
      </c>
      <c r="P53" t="str">
        <f>IFERROR(INDEX(Customers!$C$2:$C$41,MATCH(C53,Customers!$A$2:$A$41,0)),"Unknown City")</f>
        <v>Bengaluru</v>
      </c>
      <c r="Q53" s="22">
        <f>G53*O53*(1-H53)</f>
        <v>3500</v>
      </c>
      <c r="R53" t="str">
        <f t="shared" si="0"/>
        <v>Apr-2024</v>
      </c>
      <c r="S53" t="str">
        <f>IF(Q53&gt;=50000,"Large",IF(Q53&gt;=20000,"Medium","Small"))</f>
        <v>Small</v>
      </c>
      <c r="T53">
        <f>VLOOKUP(Q53,Commission!$A$2:$B$6,2,TRUE)</f>
        <v>0.02</v>
      </c>
      <c r="U53">
        <f>Q53*T53</f>
        <v>70</v>
      </c>
      <c r="V53" t="str">
        <f>IF(AND(I53="Pending",Q53&gt;20000),"Follow Up","OK")</f>
        <v>OK</v>
      </c>
      <c r="W53" t="str">
        <f>_xlfn.XLOOKUP(C53,Customers!$A$2:$A$41,Customers!$D$2:$D$41)</f>
        <v>Consumer</v>
      </c>
    </row>
    <row r="54" spans="1:23" x14ac:dyDescent="0.3">
      <c r="A54" s="9" t="s">
        <v>389</v>
      </c>
      <c r="B54" s="10">
        <v>45418</v>
      </c>
      <c r="C54" s="9" t="s">
        <v>208</v>
      </c>
      <c r="D54" s="9" t="s">
        <v>335</v>
      </c>
      <c r="E54" s="9" t="s">
        <v>124</v>
      </c>
      <c r="F54" s="9" t="s">
        <v>164</v>
      </c>
      <c r="G54" s="9">
        <v>1</v>
      </c>
      <c r="H54" s="11">
        <v>0</v>
      </c>
      <c r="I54" s="9" t="s">
        <v>165</v>
      </c>
      <c r="J54" t="str">
        <f>PROPER(TRIM(F54))</f>
        <v>Amit Verma</v>
      </c>
      <c r="K54" t="str">
        <f>PROPER(TRIM(E54))</f>
        <v>East</v>
      </c>
      <c r="L54" t="str">
        <f>TRIM(D54)</f>
        <v>P998</v>
      </c>
      <c r="M54" t="str">
        <f>IFERROR(VLOOKUP(L54,Products!$A$2:$D$21,2,FALSE),"Unknown Product")</f>
        <v>Unknown Product</v>
      </c>
      <c r="N54" t="str">
        <f>IFERROR(VLOOKUP(L54,Products!$A$2:$D$21,3,0),"Unknown ")</f>
        <v xml:space="preserve">Unknown </v>
      </c>
      <c r="O54">
        <f>IFERROR(VLOOKUP(L54,Products!$A$2:$D$21,4,0),0)</f>
        <v>0</v>
      </c>
      <c r="P54" t="str">
        <f>IFERROR(INDEX(Customers!$C$2:$C$41,MATCH(C54,Customers!$A$2:$A$41,0)),"Unknown City")</f>
        <v>Pune</v>
      </c>
      <c r="Q54" s="22">
        <f>G54*O54*(1-H54)</f>
        <v>0</v>
      </c>
      <c r="R54" t="str">
        <f t="shared" si="0"/>
        <v>May-2024</v>
      </c>
      <c r="S54" t="str">
        <f>IF(Q54&gt;=50000,"Large",IF(Q54&gt;=20000,"Medium","Small"))</f>
        <v>Small</v>
      </c>
      <c r="T54">
        <f>VLOOKUP(Q54,Commission!$A$2:$B$6,2,TRUE)</f>
        <v>0.02</v>
      </c>
      <c r="U54">
        <f>Q54*T54</f>
        <v>0</v>
      </c>
      <c r="V54" t="str">
        <f>IF(AND(I54="Pending",Q54&gt;20000),"Follow Up","OK")</f>
        <v>OK</v>
      </c>
      <c r="W54" t="str">
        <f>_xlfn.XLOOKUP(C54,Customers!$A$2:$A$41,Customers!$D$2:$D$41)</f>
        <v>Home Office</v>
      </c>
    </row>
    <row r="55" spans="1:23" x14ac:dyDescent="0.3">
      <c r="A55" s="9" t="s">
        <v>350</v>
      </c>
      <c r="B55" s="10">
        <v>45605</v>
      </c>
      <c r="C55" s="9" t="s">
        <v>156</v>
      </c>
      <c r="D55" s="9" t="s">
        <v>170</v>
      </c>
      <c r="E55" s="9" t="s">
        <v>186</v>
      </c>
      <c r="F55" s="9" t="s">
        <v>164</v>
      </c>
      <c r="G55" s="9">
        <v>10</v>
      </c>
      <c r="H55" s="11">
        <v>0</v>
      </c>
      <c r="I55" s="9" t="s">
        <v>126</v>
      </c>
      <c r="J55" t="str">
        <f>PROPER(TRIM(F55))</f>
        <v>Amit Verma</v>
      </c>
      <c r="K55" t="str">
        <f>PROPER(TRIM(E55))</f>
        <v>North</v>
      </c>
      <c r="L55" t="str">
        <f>TRIM(D55)</f>
        <v>P101</v>
      </c>
      <c r="M55" t="str">
        <f>IFERROR(VLOOKUP(L55,Products!$A$2:$D$21,2,FALSE),"Unknown Product")</f>
        <v>Laptop</v>
      </c>
      <c r="N55" t="str">
        <f>IFERROR(VLOOKUP(L55,Products!$A$2:$D$21,3,0),"Unknown ")</f>
        <v>Electronics</v>
      </c>
      <c r="O55">
        <f>IFERROR(VLOOKUP(L55,Products!$A$2:$D$21,4,0),0)</f>
        <v>55000</v>
      </c>
      <c r="P55" t="str">
        <f>IFERROR(INDEX(Customers!$C$2:$C$41,MATCH(C55,Customers!$A$2:$A$41,0)),"Unknown City")</f>
        <v>Hyderabad</v>
      </c>
      <c r="Q55" s="22">
        <f>G55*O55*(1-H55)</f>
        <v>550000</v>
      </c>
      <c r="R55" t="str">
        <f t="shared" si="0"/>
        <v>Nov-2024</v>
      </c>
      <c r="S55" t="str">
        <f>IF(Q55&gt;=50000,"Large",IF(Q55&gt;=20000,"Medium","Small"))</f>
        <v>Large</v>
      </c>
      <c r="T55">
        <f>VLOOKUP(Q55,Commission!$A$2:$B$6,2,TRUE)</f>
        <v>0.06</v>
      </c>
      <c r="U55">
        <f>Q55*T55</f>
        <v>33000</v>
      </c>
      <c r="V55" t="str">
        <f>IF(AND(I55="Pending",Q55&gt;20000),"Follow Up","OK")</f>
        <v>OK</v>
      </c>
      <c r="W55" t="str">
        <f>_xlfn.XLOOKUP(C55,Customers!$A$2:$A$41,Customers!$D$2:$D$41)</f>
        <v>Consumer</v>
      </c>
    </row>
    <row r="56" spans="1:23" x14ac:dyDescent="0.3">
      <c r="A56" s="9" t="s">
        <v>362</v>
      </c>
      <c r="B56" s="10">
        <v>45497</v>
      </c>
      <c r="C56" s="9" t="s">
        <v>122</v>
      </c>
      <c r="D56" s="9" t="s">
        <v>170</v>
      </c>
      <c r="E56" s="9" t="s">
        <v>186</v>
      </c>
      <c r="F56" s="9" t="s">
        <v>363</v>
      </c>
      <c r="G56" s="9">
        <v>10</v>
      </c>
      <c r="H56" s="11">
        <v>0.15</v>
      </c>
      <c r="I56" s="9" t="s">
        <v>145</v>
      </c>
      <c r="J56" t="str">
        <f>PROPER(TRIM(F56))</f>
        <v>Latha Menon</v>
      </c>
      <c r="K56" t="str">
        <f>PROPER(TRIM(E56))</f>
        <v>North</v>
      </c>
      <c r="L56" t="str">
        <f>TRIM(D56)</f>
        <v>P101</v>
      </c>
      <c r="M56" t="str">
        <f>IFERROR(VLOOKUP(L56,Products!$A$2:$D$21,2,FALSE),"Unknown Product")</f>
        <v>Laptop</v>
      </c>
      <c r="N56" t="str">
        <f>IFERROR(VLOOKUP(L56,Products!$A$2:$D$21,3,0),"Unknown ")</f>
        <v>Electronics</v>
      </c>
      <c r="O56">
        <f>IFERROR(VLOOKUP(L56,Products!$A$2:$D$21,4,0),0)</f>
        <v>55000</v>
      </c>
      <c r="P56" t="str">
        <f>IFERROR(INDEX(Customers!$C$2:$C$41,MATCH(C56,Customers!$A$2:$A$41,0)),"Unknown City")</f>
        <v>Pune</v>
      </c>
      <c r="Q56" s="22">
        <f>G56*O56*(1-H56)</f>
        <v>467500</v>
      </c>
      <c r="R56" t="str">
        <f t="shared" si="0"/>
        <v>Jul-2024</v>
      </c>
      <c r="S56" t="str">
        <f>IF(Q56&gt;=50000,"Large",IF(Q56&gt;=20000,"Medium","Small"))</f>
        <v>Large</v>
      </c>
      <c r="T56">
        <f>VLOOKUP(Q56,Commission!$A$2:$B$6,2,TRUE)</f>
        <v>0.06</v>
      </c>
      <c r="U56">
        <f>Q56*T56</f>
        <v>28050</v>
      </c>
      <c r="V56" t="str">
        <f>IF(AND(I56="Pending",Q56&gt;20000),"Follow Up","OK")</f>
        <v>OK</v>
      </c>
      <c r="W56" t="str">
        <f>_xlfn.XLOOKUP(C56,Customers!$A$2:$A$41,Customers!$D$2:$D$41)</f>
        <v>Corporate</v>
      </c>
    </row>
    <row r="57" spans="1:23" x14ac:dyDescent="0.3">
      <c r="A57" s="9" t="s">
        <v>340</v>
      </c>
      <c r="B57" s="10">
        <v>45521</v>
      </c>
      <c r="C57" s="9" t="s">
        <v>223</v>
      </c>
      <c r="D57" s="9" t="s">
        <v>261</v>
      </c>
      <c r="E57" s="9" t="s">
        <v>186</v>
      </c>
      <c r="F57" s="9" t="s">
        <v>206</v>
      </c>
      <c r="G57" s="9">
        <v>10</v>
      </c>
      <c r="H57" s="11">
        <v>0</v>
      </c>
      <c r="I57" s="9" t="s">
        <v>145</v>
      </c>
      <c r="J57" t="str">
        <f>PROPER(TRIM(F57))</f>
        <v>Sunita Rao</v>
      </c>
      <c r="K57" t="str">
        <f>PROPER(TRIM(E57))</f>
        <v>North</v>
      </c>
      <c r="L57" t="str">
        <f>TRIM(D57)</f>
        <v>P109</v>
      </c>
      <c r="M57" t="str">
        <f>IFERROR(VLOOKUP(L57,Products!$A$2:$D$21,2,FALSE),"Unknown Product")</f>
        <v>Sofa Set</v>
      </c>
      <c r="N57" t="str">
        <f>IFERROR(VLOOKUP(L57,Products!$A$2:$D$21,3,0),"Unknown ")</f>
        <v>Furniture</v>
      </c>
      <c r="O57">
        <f>IFERROR(VLOOKUP(L57,Products!$A$2:$D$21,4,0),0)</f>
        <v>42000</v>
      </c>
      <c r="P57" t="str">
        <f>IFERROR(INDEX(Customers!$C$2:$C$41,MATCH(C57,Customers!$A$2:$A$41,0)),"Unknown City")</f>
        <v>Delhi</v>
      </c>
      <c r="Q57" s="22">
        <f>G57*O57*(1-H57)</f>
        <v>420000</v>
      </c>
      <c r="R57" t="str">
        <f t="shared" si="0"/>
        <v>Aug-2024</v>
      </c>
      <c r="S57" t="str">
        <f>IF(Q57&gt;=50000,"Large",IF(Q57&gt;=20000,"Medium","Small"))</f>
        <v>Large</v>
      </c>
      <c r="T57">
        <f>VLOOKUP(Q57,Commission!$A$2:$B$6,2,TRUE)</f>
        <v>0.06</v>
      </c>
      <c r="U57">
        <f>Q57*T57</f>
        <v>25200</v>
      </c>
      <c r="V57" t="str">
        <f>IF(AND(I57="Pending",Q57&gt;20000),"Follow Up","OK")</f>
        <v>OK</v>
      </c>
      <c r="W57" t="str">
        <f>_xlfn.XLOOKUP(C57,Customers!$A$2:$A$41,Customers!$D$2:$D$41)</f>
        <v>Home Office</v>
      </c>
    </row>
    <row r="58" spans="1:23" x14ac:dyDescent="0.3">
      <c r="A58" s="9" t="s">
        <v>222</v>
      </c>
      <c r="B58" s="10">
        <v>45564</v>
      </c>
      <c r="C58" s="9" t="s">
        <v>223</v>
      </c>
      <c r="D58" s="9" t="s">
        <v>224</v>
      </c>
      <c r="E58" s="9" t="s">
        <v>186</v>
      </c>
      <c r="F58" s="9" t="s">
        <v>160</v>
      </c>
      <c r="G58" s="9">
        <v>10</v>
      </c>
      <c r="H58" s="11">
        <v>0</v>
      </c>
      <c r="I58" s="9" t="s">
        <v>145</v>
      </c>
      <c r="J58" t="str">
        <f>PROPER(TRIM(F58))</f>
        <v>Latha Menon</v>
      </c>
      <c r="K58" t="str">
        <f>PROPER(TRIM(E58))</f>
        <v>North</v>
      </c>
      <c r="L58" t="str">
        <f>TRIM(D58)</f>
        <v>P120</v>
      </c>
      <c r="M58" t="str">
        <f>IFERROR(VLOOKUP(L58,Products!$A$2:$D$21,2,FALSE),"Unknown Product")</f>
        <v>Printer Paper</v>
      </c>
      <c r="N58" t="str">
        <f>IFERROR(VLOOKUP(L58,Products!$A$2:$D$21,3,0),"Unknown ")</f>
        <v>Stationery</v>
      </c>
      <c r="O58">
        <f>IFERROR(VLOOKUP(L58,Products!$A$2:$D$21,4,0),0)</f>
        <v>620</v>
      </c>
      <c r="P58" t="str">
        <f>IFERROR(INDEX(Customers!$C$2:$C$41,MATCH(C58,Customers!$A$2:$A$41,0)),"Unknown City")</f>
        <v>Delhi</v>
      </c>
      <c r="Q58" s="22">
        <f>G58*O58*(1-H58)</f>
        <v>6200</v>
      </c>
      <c r="R58" t="str">
        <f t="shared" si="0"/>
        <v>Sep-2024</v>
      </c>
      <c r="S58" t="str">
        <f>IF(Q58&gt;=50000,"Large",IF(Q58&gt;=20000,"Medium","Small"))</f>
        <v>Small</v>
      </c>
      <c r="T58">
        <f>VLOOKUP(Q58,Commission!$A$2:$B$6,2,TRUE)</f>
        <v>0.02</v>
      </c>
      <c r="U58">
        <f>Q58*T58</f>
        <v>124</v>
      </c>
      <c r="V58" t="str">
        <f>IF(AND(I58="Pending",Q58&gt;20000),"Follow Up","OK")</f>
        <v>OK</v>
      </c>
      <c r="W58" t="str">
        <f>_xlfn.XLOOKUP(C58,Customers!$A$2:$A$41,Customers!$D$2:$D$41)</f>
        <v>Home Office</v>
      </c>
    </row>
    <row r="59" spans="1:23" x14ac:dyDescent="0.3">
      <c r="A59" s="9" t="s">
        <v>244</v>
      </c>
      <c r="B59" s="10">
        <v>45427</v>
      </c>
      <c r="C59" s="9" t="s">
        <v>178</v>
      </c>
      <c r="D59" s="9" t="s">
        <v>209</v>
      </c>
      <c r="E59" s="9" t="s">
        <v>186</v>
      </c>
      <c r="F59" s="9" t="s">
        <v>140</v>
      </c>
      <c r="G59" s="9">
        <v>9</v>
      </c>
      <c r="H59" s="11">
        <v>0</v>
      </c>
      <c r="I59" s="9" t="s">
        <v>126</v>
      </c>
      <c r="J59" t="str">
        <f>PROPER(TRIM(F59))</f>
        <v>Pooja Nair</v>
      </c>
      <c r="K59" t="str">
        <f>PROPER(TRIM(E59))</f>
        <v>North</v>
      </c>
      <c r="L59" t="str">
        <f>TRIM(D59)</f>
        <v>P106</v>
      </c>
      <c r="M59" t="str">
        <f>IFERROR(VLOOKUP(L59,Products!$A$2:$D$21,2,FALSE),"Unknown Product")</f>
        <v>Office Chair</v>
      </c>
      <c r="N59" t="str">
        <f>IFERROR(VLOOKUP(L59,Products!$A$2:$D$21,3,0),"Unknown ")</f>
        <v>Furniture</v>
      </c>
      <c r="O59">
        <f>IFERROR(VLOOKUP(L59,Products!$A$2:$D$21,4,0),0)</f>
        <v>7500</v>
      </c>
      <c r="P59" t="str">
        <f>IFERROR(INDEX(Customers!$C$2:$C$41,MATCH(C59,Customers!$A$2:$A$41,0)),"Unknown City")</f>
        <v>Kolkata</v>
      </c>
      <c r="Q59" s="22">
        <f>G59*O59*(1-H59)</f>
        <v>67500</v>
      </c>
      <c r="R59" t="str">
        <f t="shared" si="0"/>
        <v>May-2024</v>
      </c>
      <c r="S59" t="str">
        <f>IF(Q59&gt;=50000,"Large",IF(Q59&gt;=20000,"Medium","Small"))</f>
        <v>Large</v>
      </c>
      <c r="T59">
        <f>VLOOKUP(Q59,Commission!$A$2:$B$6,2,TRUE)</f>
        <v>0.05</v>
      </c>
      <c r="U59">
        <f>Q59*T59</f>
        <v>3375</v>
      </c>
      <c r="V59" t="str">
        <f>IF(AND(I59="Pending",Q59&gt;20000),"Follow Up","OK")</f>
        <v>OK</v>
      </c>
      <c r="W59" t="str">
        <f>_xlfn.XLOOKUP(C59,Customers!$A$2:$A$41,Customers!$D$2:$D$41)</f>
        <v>Corporate</v>
      </c>
    </row>
    <row r="60" spans="1:23" x14ac:dyDescent="0.3">
      <c r="A60" s="9" t="s">
        <v>266</v>
      </c>
      <c r="B60" s="10">
        <v>45518</v>
      </c>
      <c r="C60" s="9" t="s">
        <v>226</v>
      </c>
      <c r="D60" s="9" t="s">
        <v>209</v>
      </c>
      <c r="E60" s="9" t="s">
        <v>186</v>
      </c>
      <c r="F60" s="9" t="s">
        <v>135</v>
      </c>
      <c r="G60" s="9">
        <v>9</v>
      </c>
      <c r="H60" s="11">
        <v>0</v>
      </c>
      <c r="I60" s="9" t="s">
        <v>126</v>
      </c>
      <c r="J60" t="str">
        <f>PROPER(TRIM(F60))</f>
        <v>Manoj Das</v>
      </c>
      <c r="K60" t="str">
        <f>PROPER(TRIM(E60))</f>
        <v>North</v>
      </c>
      <c r="L60" t="str">
        <f>TRIM(D60)</f>
        <v>P106</v>
      </c>
      <c r="M60" t="str">
        <f>IFERROR(VLOOKUP(L60,Products!$A$2:$D$21,2,FALSE),"Unknown Product")</f>
        <v>Office Chair</v>
      </c>
      <c r="N60" t="str">
        <f>IFERROR(VLOOKUP(L60,Products!$A$2:$D$21,3,0),"Unknown ")</f>
        <v>Furniture</v>
      </c>
      <c r="O60">
        <f>IFERROR(VLOOKUP(L60,Products!$A$2:$D$21,4,0),0)</f>
        <v>7500</v>
      </c>
      <c r="P60" t="str">
        <f>IFERROR(INDEX(Customers!$C$2:$C$41,MATCH(C60,Customers!$A$2:$A$41,0)),"Unknown City")</f>
        <v>Hyderabad</v>
      </c>
      <c r="Q60" s="22">
        <f>G60*O60*(1-H60)</f>
        <v>67500</v>
      </c>
      <c r="R60" t="str">
        <f t="shared" si="0"/>
        <v>Aug-2024</v>
      </c>
      <c r="S60" t="str">
        <f>IF(Q60&gt;=50000,"Large",IF(Q60&gt;=20000,"Medium","Small"))</f>
        <v>Large</v>
      </c>
      <c r="T60">
        <f>VLOOKUP(Q60,Commission!$A$2:$B$6,2,TRUE)</f>
        <v>0.05</v>
      </c>
      <c r="U60">
        <f>Q60*T60</f>
        <v>3375</v>
      </c>
      <c r="V60" t="str">
        <f>IF(AND(I60="Pending",Q60&gt;20000),"Follow Up","OK")</f>
        <v>OK</v>
      </c>
      <c r="W60" t="str">
        <f>_xlfn.XLOOKUP(C60,Customers!$A$2:$A$41,Customers!$D$2:$D$41)</f>
        <v>Consumer</v>
      </c>
    </row>
    <row r="61" spans="1:23" x14ac:dyDescent="0.3">
      <c r="A61" s="9" t="s">
        <v>329</v>
      </c>
      <c r="B61" s="10">
        <v>45427</v>
      </c>
      <c r="C61" s="9" t="s">
        <v>264</v>
      </c>
      <c r="D61" s="9" t="s">
        <v>189</v>
      </c>
      <c r="E61" s="9" t="s">
        <v>186</v>
      </c>
      <c r="F61" s="9" t="s">
        <v>330</v>
      </c>
      <c r="G61" s="9">
        <v>9</v>
      </c>
      <c r="H61" s="11">
        <v>0.05</v>
      </c>
      <c r="I61" s="9" t="s">
        <v>126</v>
      </c>
      <c r="J61" t="str">
        <f>PROPER(TRIM(F61))</f>
        <v>Latha Menon</v>
      </c>
      <c r="K61" t="str">
        <f>PROPER(TRIM(E61))</f>
        <v>North</v>
      </c>
      <c r="L61" t="str">
        <f>TRIM(D61)</f>
        <v>P115</v>
      </c>
      <c r="M61" t="str">
        <f>IFERROR(VLOOKUP(L61,Products!$A$2:$D$21,2,FALSE),"Unknown Product")</f>
        <v>Jacket</v>
      </c>
      <c r="N61" t="str">
        <f>IFERROR(VLOOKUP(L61,Products!$A$2:$D$21,3,0),"Unknown ")</f>
        <v>Clothing</v>
      </c>
      <c r="O61">
        <f>IFERROR(VLOOKUP(L61,Products!$A$2:$D$21,4,0),0)</f>
        <v>3800</v>
      </c>
      <c r="P61" t="str">
        <f>IFERROR(INDEX(Customers!$C$2:$C$41,MATCH(C61,Customers!$A$2:$A$41,0)),"Unknown City")</f>
        <v>Bengaluru</v>
      </c>
      <c r="Q61" s="22">
        <f>G61*O61*(1-H61)</f>
        <v>32490</v>
      </c>
      <c r="R61" t="str">
        <f t="shared" si="0"/>
        <v>May-2024</v>
      </c>
      <c r="S61" t="str">
        <f>IF(Q61&gt;=50000,"Large",IF(Q61&gt;=20000,"Medium","Small"))</f>
        <v>Medium</v>
      </c>
      <c r="T61">
        <f>VLOOKUP(Q61,Commission!$A$2:$B$6,2,TRUE)</f>
        <v>0.04</v>
      </c>
      <c r="U61">
        <f>Q61*T61</f>
        <v>1299.6000000000001</v>
      </c>
      <c r="V61" t="str">
        <f>IF(AND(I61="Pending",Q61&gt;20000),"Follow Up","OK")</f>
        <v>OK</v>
      </c>
      <c r="W61" t="str">
        <f>_xlfn.XLOOKUP(C61,Customers!$A$2:$A$41,Customers!$D$2:$D$41)</f>
        <v>Home Office</v>
      </c>
    </row>
    <row r="62" spans="1:23" x14ac:dyDescent="0.3">
      <c r="A62" s="9" t="s">
        <v>366</v>
      </c>
      <c r="B62" s="10">
        <v>45316</v>
      </c>
      <c r="C62" s="9" t="s">
        <v>188</v>
      </c>
      <c r="D62" s="9" t="s">
        <v>189</v>
      </c>
      <c r="E62" s="9" t="s">
        <v>186</v>
      </c>
      <c r="F62" s="9" t="s">
        <v>135</v>
      </c>
      <c r="G62" s="9">
        <v>9</v>
      </c>
      <c r="H62" s="11">
        <v>0.15</v>
      </c>
      <c r="I62" s="9" t="s">
        <v>165</v>
      </c>
      <c r="J62" t="str">
        <f>PROPER(TRIM(F62))</f>
        <v>Manoj Das</v>
      </c>
      <c r="K62" t="str">
        <f>PROPER(TRIM(E62))</f>
        <v>North</v>
      </c>
      <c r="L62" t="str">
        <f>TRIM(D62)</f>
        <v>P115</v>
      </c>
      <c r="M62" t="str">
        <f>IFERROR(VLOOKUP(L62,Products!$A$2:$D$21,2,FALSE),"Unknown Product")</f>
        <v>Jacket</v>
      </c>
      <c r="N62" t="str">
        <f>IFERROR(VLOOKUP(L62,Products!$A$2:$D$21,3,0),"Unknown ")</f>
        <v>Clothing</v>
      </c>
      <c r="O62">
        <f>IFERROR(VLOOKUP(L62,Products!$A$2:$D$21,4,0),0)</f>
        <v>3800</v>
      </c>
      <c r="P62" t="str">
        <f>IFERROR(INDEX(Customers!$C$2:$C$41,MATCH(C62,Customers!$A$2:$A$41,0)),"Unknown City")</f>
        <v>Mumbai</v>
      </c>
      <c r="Q62" s="22">
        <f>G62*O62*(1-H62)</f>
        <v>29070</v>
      </c>
      <c r="R62" t="str">
        <f t="shared" si="0"/>
        <v>Jan-2024</v>
      </c>
      <c r="S62" t="str">
        <f>IF(Q62&gt;=50000,"Large",IF(Q62&gt;=20000,"Medium","Small"))</f>
        <v>Medium</v>
      </c>
      <c r="T62">
        <f>VLOOKUP(Q62,Commission!$A$2:$B$6,2,TRUE)</f>
        <v>0.04</v>
      </c>
      <c r="U62">
        <f>Q62*T62</f>
        <v>1162.8</v>
      </c>
      <c r="V62" t="str">
        <f>IF(AND(I62="Pending",Q62&gt;20000),"Follow Up","OK")</f>
        <v>Follow Up</v>
      </c>
      <c r="W62" t="str">
        <f>_xlfn.XLOOKUP(C62,Customers!$A$2:$A$41,Customers!$D$2:$D$41)</f>
        <v>Corporate</v>
      </c>
    </row>
    <row r="63" spans="1:23" x14ac:dyDescent="0.3">
      <c r="A63" s="9" t="s">
        <v>421</v>
      </c>
      <c r="B63" s="10">
        <v>45608</v>
      </c>
      <c r="C63" s="9" t="s">
        <v>264</v>
      </c>
      <c r="D63" s="9" t="s">
        <v>129</v>
      </c>
      <c r="E63" s="9" t="s">
        <v>186</v>
      </c>
      <c r="F63" s="9" t="s">
        <v>160</v>
      </c>
      <c r="G63" s="9">
        <v>9</v>
      </c>
      <c r="H63" s="11">
        <v>0.1</v>
      </c>
      <c r="I63" s="9" t="s">
        <v>145</v>
      </c>
      <c r="J63" t="str">
        <f>PROPER(TRIM(F63))</f>
        <v>Latha Menon</v>
      </c>
      <c r="K63" t="str">
        <f>PROPER(TRIM(E63))</f>
        <v>North</v>
      </c>
      <c r="L63" t="str">
        <f>TRIM(D63)</f>
        <v>P118</v>
      </c>
      <c r="M63" t="str">
        <f>IFERROR(VLOOKUP(L63,Products!$A$2:$D$21,2,FALSE),"Unknown Product")</f>
        <v>Jeans</v>
      </c>
      <c r="N63" t="str">
        <f>IFERROR(VLOOKUP(L63,Products!$A$2:$D$21,3,0),"Unknown ")</f>
        <v>Clothing</v>
      </c>
      <c r="O63">
        <f>IFERROR(VLOOKUP(L63,Products!$A$2:$D$21,4,0),0)</f>
        <v>2800</v>
      </c>
      <c r="P63" t="str">
        <f>IFERROR(INDEX(Customers!$C$2:$C$41,MATCH(C63,Customers!$A$2:$A$41,0)),"Unknown City")</f>
        <v>Bengaluru</v>
      </c>
      <c r="Q63" s="22">
        <f>G63*O63*(1-H63)</f>
        <v>22680</v>
      </c>
      <c r="R63" t="str">
        <f t="shared" si="0"/>
        <v>Nov-2024</v>
      </c>
      <c r="S63" t="str">
        <f>IF(Q63&gt;=50000,"Large",IF(Q63&gt;=20000,"Medium","Small"))</f>
        <v>Medium</v>
      </c>
      <c r="T63">
        <f>VLOOKUP(Q63,Commission!$A$2:$B$6,2,TRUE)</f>
        <v>0.03</v>
      </c>
      <c r="U63">
        <f>Q63*T63</f>
        <v>680.4</v>
      </c>
      <c r="V63" t="str">
        <f>IF(AND(I63="Pending",Q63&gt;20000),"Follow Up","OK")</f>
        <v>OK</v>
      </c>
      <c r="W63" t="str">
        <f>_xlfn.XLOOKUP(C63,Customers!$A$2:$A$41,Customers!$D$2:$D$41)</f>
        <v>Home Office</v>
      </c>
    </row>
    <row r="64" spans="1:23" x14ac:dyDescent="0.3">
      <c r="A64" s="9" t="s">
        <v>324</v>
      </c>
      <c r="B64" s="10">
        <v>45455</v>
      </c>
      <c r="C64" s="9" t="s">
        <v>202</v>
      </c>
      <c r="D64" s="9" t="s">
        <v>325</v>
      </c>
      <c r="E64" s="9" t="s">
        <v>186</v>
      </c>
      <c r="F64" s="9" t="s">
        <v>160</v>
      </c>
      <c r="G64" s="9">
        <v>9</v>
      </c>
      <c r="H64" s="11">
        <v>0.05</v>
      </c>
      <c r="I64" s="9" t="s">
        <v>165</v>
      </c>
      <c r="J64" t="str">
        <f>PROPER(TRIM(F64))</f>
        <v>Latha Menon</v>
      </c>
      <c r="K64" t="str">
        <f>PROPER(TRIM(E64))</f>
        <v>North</v>
      </c>
      <c r="L64" t="str">
        <f>TRIM(D64)</f>
        <v>P112</v>
      </c>
      <c r="M64" t="str">
        <f>IFERROR(VLOOKUP(L64,Products!$A$2:$D$21,2,FALSE),"Unknown Product")</f>
        <v>Olive Oil</v>
      </c>
      <c r="N64" t="str">
        <f>IFERROR(VLOOKUP(L64,Products!$A$2:$D$21,3,0),"Unknown ")</f>
        <v>Grocery</v>
      </c>
      <c r="O64">
        <f>IFERROR(VLOOKUP(L64,Products!$A$2:$D$21,4,0),0)</f>
        <v>980</v>
      </c>
      <c r="P64" t="str">
        <f>IFERROR(INDEX(Customers!$C$2:$C$41,MATCH(C64,Customers!$A$2:$A$41,0)),"Unknown City")</f>
        <v>Chennai</v>
      </c>
      <c r="Q64" s="22">
        <f>G64*O64*(1-H64)</f>
        <v>8379</v>
      </c>
      <c r="R64" t="str">
        <f t="shared" si="0"/>
        <v>Jun-2024</v>
      </c>
      <c r="S64" t="str">
        <f>IF(Q64&gt;=50000,"Large",IF(Q64&gt;=20000,"Medium","Small"))</f>
        <v>Small</v>
      </c>
      <c r="T64">
        <f>VLOOKUP(Q64,Commission!$A$2:$B$6,2,TRUE)</f>
        <v>0.02</v>
      </c>
      <c r="U64">
        <f>Q64*T64</f>
        <v>167.58</v>
      </c>
      <c r="V64" t="str">
        <f>IF(AND(I64="Pending",Q64&gt;20000),"Follow Up","OK")</f>
        <v>OK</v>
      </c>
      <c r="W64" t="str">
        <f>_xlfn.XLOOKUP(C64,Customers!$A$2:$A$41,Customers!$D$2:$D$41)</f>
        <v>Consumer</v>
      </c>
    </row>
    <row r="65" spans="1:23" x14ac:dyDescent="0.3">
      <c r="A65" s="9" t="s">
        <v>419</v>
      </c>
      <c r="B65" s="10">
        <v>45539</v>
      </c>
      <c r="C65" s="9" t="s">
        <v>256</v>
      </c>
      <c r="D65" s="9" t="s">
        <v>133</v>
      </c>
      <c r="E65" s="9" t="s">
        <v>152</v>
      </c>
      <c r="F65" s="9" t="s">
        <v>157</v>
      </c>
      <c r="G65" s="9">
        <v>9</v>
      </c>
      <c r="H65" s="11">
        <v>0</v>
      </c>
      <c r="I65" s="9" t="s">
        <v>145</v>
      </c>
      <c r="J65" t="str">
        <f>PROPER(TRIM(F65))</f>
        <v>Faisal Khan</v>
      </c>
      <c r="K65" t="str">
        <f>PROPER(TRIM(E65))</f>
        <v>North</v>
      </c>
      <c r="L65" t="str">
        <f>TRIM(D65)</f>
        <v>P114</v>
      </c>
      <c r="M65" t="str">
        <f>IFERROR(VLOOKUP(L65,Products!$A$2:$D$21,2,FALSE),"Unknown Product")</f>
        <v>Almonds 1kg</v>
      </c>
      <c r="N65" t="str">
        <f>IFERROR(VLOOKUP(L65,Products!$A$2:$D$21,3,0),"Unknown ")</f>
        <v>Grocery</v>
      </c>
      <c r="O65">
        <f>IFERROR(VLOOKUP(L65,Products!$A$2:$D$21,4,0),0)</f>
        <v>850</v>
      </c>
      <c r="P65" t="str">
        <f>IFERROR(INDEX(Customers!$C$2:$C$41,MATCH(C65,Customers!$A$2:$A$41,0)),"Unknown City")</f>
        <v>Bengaluru</v>
      </c>
      <c r="Q65" s="22">
        <f>G65*O65*(1-H65)</f>
        <v>7650</v>
      </c>
      <c r="R65" t="str">
        <f t="shared" si="0"/>
        <v>Sep-2024</v>
      </c>
      <c r="S65" t="str">
        <f>IF(Q65&gt;=50000,"Large",IF(Q65&gt;=20000,"Medium","Small"))</f>
        <v>Small</v>
      </c>
      <c r="T65">
        <f>VLOOKUP(Q65,Commission!$A$2:$B$6,2,TRUE)</f>
        <v>0.02</v>
      </c>
      <c r="U65">
        <f>Q65*T65</f>
        <v>153</v>
      </c>
      <c r="V65" t="str">
        <f>IF(AND(I65="Pending",Q65&gt;20000),"Follow Up","OK")</f>
        <v>OK</v>
      </c>
      <c r="W65" t="str">
        <f>_xlfn.XLOOKUP(C65,Customers!$A$2:$A$41,Customers!$D$2:$D$41)</f>
        <v>Consumer</v>
      </c>
    </row>
    <row r="66" spans="1:23" x14ac:dyDescent="0.3">
      <c r="A66" s="9" t="s">
        <v>352</v>
      </c>
      <c r="B66" s="10">
        <v>45570</v>
      </c>
      <c r="C66" s="9" t="s">
        <v>147</v>
      </c>
      <c r="D66" s="9" t="s">
        <v>227</v>
      </c>
      <c r="E66" s="9" t="s">
        <v>186</v>
      </c>
      <c r="F66" s="9" t="s">
        <v>160</v>
      </c>
      <c r="G66" s="9">
        <v>8</v>
      </c>
      <c r="H66" s="11">
        <v>0.15</v>
      </c>
      <c r="I66" s="9" t="s">
        <v>145</v>
      </c>
      <c r="J66" t="str">
        <f>PROPER(TRIM(F66))</f>
        <v>Latha Menon</v>
      </c>
      <c r="K66" t="str">
        <f>PROPER(TRIM(E66))</f>
        <v>North</v>
      </c>
      <c r="L66" t="str">
        <f>TRIM(D66)</f>
        <v>P105</v>
      </c>
      <c r="M66" t="str">
        <f>IFERROR(VLOOKUP(L66,Products!$A$2:$D$21,2,FALSE),"Unknown Product")</f>
        <v>Smartwatch</v>
      </c>
      <c r="N66" t="str">
        <f>IFERROR(VLOOKUP(L66,Products!$A$2:$D$21,3,0),"Unknown ")</f>
        <v>Electronics</v>
      </c>
      <c r="O66">
        <f>IFERROR(VLOOKUP(L66,Products!$A$2:$D$21,4,0),0)</f>
        <v>9500</v>
      </c>
      <c r="P66" t="str">
        <f>IFERROR(INDEX(Customers!$C$2:$C$41,MATCH(C66,Customers!$A$2:$A$41,0)),"Unknown City")</f>
        <v>Hyderabad</v>
      </c>
      <c r="Q66" s="22">
        <f>G66*O66*(1-H66)</f>
        <v>64600</v>
      </c>
      <c r="R66" t="str">
        <f t="shared" si="0"/>
        <v>Oct-2024</v>
      </c>
      <c r="S66" t="str">
        <f>IF(Q66&gt;=50000,"Large",IF(Q66&gt;=20000,"Medium","Small"))</f>
        <v>Large</v>
      </c>
      <c r="T66">
        <f>VLOOKUP(Q66,Commission!$A$2:$B$6,2,TRUE)</f>
        <v>0.05</v>
      </c>
      <c r="U66">
        <f>Q66*T66</f>
        <v>3230</v>
      </c>
      <c r="V66" t="str">
        <f>IF(AND(I66="Pending",Q66&gt;20000),"Follow Up","OK")</f>
        <v>OK</v>
      </c>
      <c r="W66" t="str">
        <f>_xlfn.XLOOKUP(C66,Customers!$A$2:$A$41,Customers!$D$2:$D$41)</f>
        <v>Corporate</v>
      </c>
    </row>
    <row r="67" spans="1:23" x14ac:dyDescent="0.3">
      <c r="A67" s="9" t="s">
        <v>207</v>
      </c>
      <c r="B67" s="10">
        <v>45493</v>
      </c>
      <c r="C67" s="9" t="s">
        <v>208</v>
      </c>
      <c r="D67" s="9" t="s">
        <v>209</v>
      </c>
      <c r="E67" s="9" t="s">
        <v>186</v>
      </c>
      <c r="F67" s="9" t="s">
        <v>131</v>
      </c>
      <c r="G67" s="9">
        <v>8</v>
      </c>
      <c r="H67" s="11">
        <v>0.05</v>
      </c>
      <c r="I67" s="9" t="s">
        <v>126</v>
      </c>
      <c r="J67" t="str">
        <f>PROPER(TRIM(F67))</f>
        <v>Reena Joshi</v>
      </c>
      <c r="K67" t="str">
        <f>PROPER(TRIM(E67))</f>
        <v>North</v>
      </c>
      <c r="L67" t="str">
        <f>TRIM(D67)</f>
        <v>P106</v>
      </c>
      <c r="M67" t="str">
        <f>IFERROR(VLOOKUP(L67,Products!$A$2:$D$21,2,FALSE),"Unknown Product")</f>
        <v>Office Chair</v>
      </c>
      <c r="N67" t="str">
        <f>IFERROR(VLOOKUP(L67,Products!$A$2:$D$21,3,0),"Unknown ")</f>
        <v>Furniture</v>
      </c>
      <c r="O67">
        <f>IFERROR(VLOOKUP(L67,Products!$A$2:$D$21,4,0),0)</f>
        <v>7500</v>
      </c>
      <c r="P67" t="str">
        <f>IFERROR(INDEX(Customers!$C$2:$C$41,MATCH(C67,Customers!$A$2:$A$41,0)),"Unknown City")</f>
        <v>Pune</v>
      </c>
      <c r="Q67" s="22">
        <f>G67*O67*(1-H67)</f>
        <v>57000</v>
      </c>
      <c r="R67" t="str">
        <f t="shared" ref="R67:R130" si="1">TEXT(B67,"mmm-yyyy")</f>
        <v>Jul-2024</v>
      </c>
      <c r="S67" t="str">
        <f>IF(Q67&gt;=50000,"Large",IF(Q67&gt;=20000,"Medium","Small"))</f>
        <v>Large</v>
      </c>
      <c r="T67">
        <f>VLOOKUP(Q67,Commission!$A$2:$B$6,2,TRUE)</f>
        <v>0.05</v>
      </c>
      <c r="U67">
        <f>Q67*T67</f>
        <v>2850</v>
      </c>
      <c r="V67" t="str">
        <f>IF(AND(I67="Pending",Q67&gt;20000),"Follow Up","OK")</f>
        <v>OK</v>
      </c>
      <c r="W67" t="str">
        <f>_xlfn.XLOOKUP(C67,Customers!$A$2:$A$41,Customers!$D$2:$D$41)</f>
        <v>Home Office</v>
      </c>
    </row>
    <row r="68" spans="1:23" x14ac:dyDescent="0.3">
      <c r="A68" s="9" t="s">
        <v>205</v>
      </c>
      <c r="B68" s="10">
        <v>45342</v>
      </c>
      <c r="C68" s="9" t="s">
        <v>128</v>
      </c>
      <c r="D68" s="9" t="s">
        <v>189</v>
      </c>
      <c r="E68" s="9" t="s">
        <v>186</v>
      </c>
      <c r="F68" s="9" t="s">
        <v>206</v>
      </c>
      <c r="G68" s="9">
        <v>8</v>
      </c>
      <c r="H68" s="11">
        <v>0</v>
      </c>
      <c r="I68" s="9" t="s">
        <v>145</v>
      </c>
      <c r="J68" t="str">
        <f>PROPER(TRIM(F68))</f>
        <v>Sunita Rao</v>
      </c>
      <c r="K68" t="str">
        <f>PROPER(TRIM(E68))</f>
        <v>North</v>
      </c>
      <c r="L68" t="str">
        <f>TRIM(D68)</f>
        <v>P115</v>
      </c>
      <c r="M68" t="str">
        <f>IFERROR(VLOOKUP(L68,Products!$A$2:$D$21,2,FALSE),"Unknown Product")</f>
        <v>Jacket</v>
      </c>
      <c r="N68" t="str">
        <f>IFERROR(VLOOKUP(L68,Products!$A$2:$D$21,3,0),"Unknown ")</f>
        <v>Clothing</v>
      </c>
      <c r="O68">
        <f>IFERROR(VLOOKUP(L68,Products!$A$2:$D$21,4,0),0)</f>
        <v>3800</v>
      </c>
      <c r="P68" t="str">
        <f>IFERROR(INDEX(Customers!$C$2:$C$41,MATCH(C68,Customers!$A$2:$A$41,0)),"Unknown City")</f>
        <v>Delhi</v>
      </c>
      <c r="Q68" s="22">
        <f>G68*O68*(1-H68)</f>
        <v>30400</v>
      </c>
      <c r="R68" t="str">
        <f t="shared" si="1"/>
        <v>Feb-2024</v>
      </c>
      <c r="S68" t="str">
        <f>IF(Q68&gt;=50000,"Large",IF(Q68&gt;=20000,"Medium","Small"))</f>
        <v>Medium</v>
      </c>
      <c r="T68">
        <f>VLOOKUP(Q68,Commission!$A$2:$B$6,2,TRUE)</f>
        <v>0.04</v>
      </c>
      <c r="U68">
        <f>Q68*T68</f>
        <v>1216</v>
      </c>
      <c r="V68" t="str">
        <f>IF(AND(I68="Pending",Q68&gt;20000),"Follow Up","OK")</f>
        <v>OK</v>
      </c>
      <c r="W68" t="str">
        <f>_xlfn.XLOOKUP(C68,Customers!$A$2:$A$41,Customers!$D$2:$D$41)</f>
        <v>Consumer</v>
      </c>
    </row>
    <row r="69" spans="1:23" x14ac:dyDescent="0.3">
      <c r="A69" s="9" t="s">
        <v>293</v>
      </c>
      <c r="B69" s="10">
        <v>45359</v>
      </c>
      <c r="C69" s="9" t="s">
        <v>208</v>
      </c>
      <c r="D69" s="9" t="s">
        <v>170</v>
      </c>
      <c r="E69" s="9" t="s">
        <v>186</v>
      </c>
      <c r="F69" s="9" t="s">
        <v>154</v>
      </c>
      <c r="G69" s="9">
        <v>7</v>
      </c>
      <c r="H69" s="11">
        <v>0</v>
      </c>
      <c r="I69" s="9" t="s">
        <v>126</v>
      </c>
      <c r="J69" t="str">
        <f>PROPER(TRIM(F69))</f>
        <v>Kiran Shah</v>
      </c>
      <c r="K69" t="str">
        <f>PROPER(TRIM(E69))</f>
        <v>North</v>
      </c>
      <c r="L69" t="str">
        <f>TRIM(D69)</f>
        <v>P101</v>
      </c>
      <c r="M69" t="str">
        <f>IFERROR(VLOOKUP(L69,Products!$A$2:$D$21,2,FALSE),"Unknown Product")</f>
        <v>Laptop</v>
      </c>
      <c r="N69" t="str">
        <f>IFERROR(VLOOKUP(L69,Products!$A$2:$D$21,3,0),"Unknown ")</f>
        <v>Electronics</v>
      </c>
      <c r="O69">
        <f>IFERROR(VLOOKUP(L69,Products!$A$2:$D$21,4,0),0)</f>
        <v>55000</v>
      </c>
      <c r="P69" t="str">
        <f>IFERROR(INDEX(Customers!$C$2:$C$41,MATCH(C69,Customers!$A$2:$A$41,0)),"Unknown City")</f>
        <v>Pune</v>
      </c>
      <c r="Q69" s="22">
        <f>G69*O69*(1-H69)</f>
        <v>385000</v>
      </c>
      <c r="R69" t="str">
        <f t="shared" si="1"/>
        <v>Mar-2024</v>
      </c>
      <c r="S69" t="str">
        <f>IF(Q69&gt;=50000,"Large",IF(Q69&gt;=20000,"Medium","Small"))</f>
        <v>Large</v>
      </c>
      <c r="T69">
        <f>VLOOKUP(Q69,Commission!$A$2:$B$6,2,TRUE)</f>
        <v>0.06</v>
      </c>
      <c r="U69">
        <f>Q69*T69</f>
        <v>23100</v>
      </c>
      <c r="V69" t="str">
        <f>IF(AND(I69="Pending",Q69&gt;20000),"Follow Up","OK")</f>
        <v>OK</v>
      </c>
      <c r="W69" t="str">
        <f>_xlfn.XLOOKUP(C69,Customers!$A$2:$A$41,Customers!$D$2:$D$41)</f>
        <v>Home Office</v>
      </c>
    </row>
    <row r="70" spans="1:23" x14ac:dyDescent="0.3">
      <c r="A70" s="9" t="s">
        <v>423</v>
      </c>
      <c r="B70" s="10">
        <v>45490</v>
      </c>
      <c r="C70" s="9" t="s">
        <v>239</v>
      </c>
      <c r="D70" s="9" t="s">
        <v>275</v>
      </c>
      <c r="E70" s="9" t="s">
        <v>186</v>
      </c>
      <c r="F70" s="9" t="s">
        <v>157</v>
      </c>
      <c r="G70" s="9">
        <v>7</v>
      </c>
      <c r="H70" s="11">
        <v>0</v>
      </c>
      <c r="I70" s="9" t="s">
        <v>126</v>
      </c>
      <c r="J70" t="str">
        <f>PROPER(TRIM(F70))</f>
        <v>Faisal Khan</v>
      </c>
      <c r="K70" t="str">
        <f>PROPER(TRIM(E70))</f>
        <v>North</v>
      </c>
      <c r="L70" t="str">
        <f>TRIM(D70)</f>
        <v>P102</v>
      </c>
      <c r="M70" t="str">
        <f>IFERROR(VLOOKUP(L70,Products!$A$2:$D$21,2,FALSE),"Unknown Product")</f>
        <v>Smartphone</v>
      </c>
      <c r="N70" t="str">
        <f>IFERROR(VLOOKUP(L70,Products!$A$2:$D$21,3,0),"Unknown ")</f>
        <v>Electronics</v>
      </c>
      <c r="O70">
        <f>IFERROR(VLOOKUP(L70,Products!$A$2:$D$21,4,0),0)</f>
        <v>28000</v>
      </c>
      <c r="P70" t="str">
        <f>IFERROR(INDEX(Customers!$C$2:$C$41,MATCH(C70,Customers!$A$2:$A$41,0)),"Unknown City")</f>
        <v>Kolkata</v>
      </c>
      <c r="Q70" s="22">
        <f>G70*O70*(1-H70)</f>
        <v>196000</v>
      </c>
      <c r="R70" t="str">
        <f t="shared" si="1"/>
        <v>Jul-2024</v>
      </c>
      <c r="S70" t="str">
        <f>IF(Q70&gt;=50000,"Large",IF(Q70&gt;=20000,"Medium","Small"))</f>
        <v>Large</v>
      </c>
      <c r="T70">
        <f>VLOOKUP(Q70,Commission!$A$2:$B$6,2,TRUE)</f>
        <v>0.06</v>
      </c>
      <c r="U70">
        <f>Q70*T70</f>
        <v>11760</v>
      </c>
      <c r="V70" t="str">
        <f>IF(AND(I70="Pending",Q70&gt;20000),"Follow Up","OK")</f>
        <v>OK</v>
      </c>
      <c r="W70" t="str">
        <f>_xlfn.XLOOKUP(C70,Customers!$A$2:$A$41,Customers!$D$2:$D$41)</f>
        <v>Home Office</v>
      </c>
    </row>
    <row r="71" spans="1:23" x14ac:dyDescent="0.3">
      <c r="A71" s="9" t="s">
        <v>354</v>
      </c>
      <c r="B71" s="10">
        <v>45493</v>
      </c>
      <c r="C71" s="9" t="s">
        <v>298</v>
      </c>
      <c r="D71" s="9" t="s">
        <v>123</v>
      </c>
      <c r="E71" s="9" t="s">
        <v>152</v>
      </c>
      <c r="F71" s="9" t="s">
        <v>154</v>
      </c>
      <c r="G71" s="9">
        <v>7</v>
      </c>
      <c r="H71" s="11">
        <v>0</v>
      </c>
      <c r="I71" s="9" t="s">
        <v>126</v>
      </c>
      <c r="J71" t="str">
        <f>PROPER(TRIM(F71))</f>
        <v>Kiran Shah</v>
      </c>
      <c r="K71" t="str">
        <f>PROPER(TRIM(E71))</f>
        <v>North</v>
      </c>
      <c r="L71" t="str">
        <f>TRIM(D71)</f>
        <v>P107</v>
      </c>
      <c r="M71" t="str">
        <f>IFERROR(VLOOKUP(L71,Products!$A$2:$D$21,2,FALSE),"Unknown Product")</f>
        <v>Standing Desk</v>
      </c>
      <c r="N71" t="str">
        <f>IFERROR(VLOOKUP(L71,Products!$A$2:$D$21,3,0),"Unknown ")</f>
        <v>Furniture</v>
      </c>
      <c r="O71">
        <f>IFERROR(VLOOKUP(L71,Products!$A$2:$D$21,4,0),0)</f>
        <v>18000</v>
      </c>
      <c r="P71" t="str">
        <f>IFERROR(INDEX(Customers!$C$2:$C$41,MATCH(C71,Customers!$A$2:$A$41,0)),"Unknown City")</f>
        <v>Bengaluru</v>
      </c>
      <c r="Q71" s="22">
        <f>G71*O71*(1-H71)</f>
        <v>126000</v>
      </c>
      <c r="R71" t="str">
        <f t="shared" si="1"/>
        <v>Jul-2024</v>
      </c>
      <c r="S71" t="str">
        <f>IF(Q71&gt;=50000,"Large",IF(Q71&gt;=20000,"Medium","Small"))</f>
        <v>Large</v>
      </c>
      <c r="T71">
        <f>VLOOKUP(Q71,Commission!$A$2:$B$6,2,TRUE)</f>
        <v>0.06</v>
      </c>
      <c r="U71">
        <f>Q71*T71</f>
        <v>7560</v>
      </c>
      <c r="V71" t="str">
        <f>IF(AND(I71="Pending",Q71&gt;20000),"Follow Up","OK")</f>
        <v>OK</v>
      </c>
      <c r="W71" t="str">
        <f>_xlfn.XLOOKUP(C71,Customers!$A$2:$A$41,Customers!$D$2:$D$41)</f>
        <v>Consumer</v>
      </c>
    </row>
    <row r="72" spans="1:23" x14ac:dyDescent="0.3">
      <c r="A72" s="9" t="s">
        <v>331</v>
      </c>
      <c r="B72" s="10">
        <v>45333</v>
      </c>
      <c r="C72" s="9" t="s">
        <v>286</v>
      </c>
      <c r="D72" s="9" t="s">
        <v>133</v>
      </c>
      <c r="E72" s="9" t="s">
        <v>186</v>
      </c>
      <c r="F72" s="9" t="s">
        <v>140</v>
      </c>
      <c r="G72" s="9">
        <v>7</v>
      </c>
      <c r="H72" s="11">
        <v>0</v>
      </c>
      <c r="I72" s="9" t="s">
        <v>126</v>
      </c>
      <c r="J72" t="str">
        <f>PROPER(TRIM(F72))</f>
        <v>Pooja Nair</v>
      </c>
      <c r="K72" t="str">
        <f>PROPER(TRIM(E72))</f>
        <v>North</v>
      </c>
      <c r="L72" t="str">
        <f>TRIM(D72)</f>
        <v>P114</v>
      </c>
      <c r="M72" t="str">
        <f>IFERROR(VLOOKUP(L72,Products!$A$2:$D$21,2,FALSE),"Unknown Product")</f>
        <v>Almonds 1kg</v>
      </c>
      <c r="N72" t="str">
        <f>IFERROR(VLOOKUP(L72,Products!$A$2:$D$21,3,0),"Unknown ")</f>
        <v>Grocery</v>
      </c>
      <c r="O72">
        <f>IFERROR(VLOOKUP(L72,Products!$A$2:$D$21,4,0),0)</f>
        <v>850</v>
      </c>
      <c r="P72" t="str">
        <f>IFERROR(INDEX(Customers!$C$2:$C$41,MATCH(C72,Customers!$A$2:$A$41,0)),"Unknown City")</f>
        <v>Hyderabad</v>
      </c>
      <c r="Q72" s="22">
        <f>G72*O72*(1-H72)</f>
        <v>5950</v>
      </c>
      <c r="R72" t="str">
        <f t="shared" si="1"/>
        <v>Feb-2024</v>
      </c>
      <c r="S72" t="str">
        <f>IF(Q72&gt;=50000,"Large",IF(Q72&gt;=20000,"Medium","Small"))</f>
        <v>Small</v>
      </c>
      <c r="T72">
        <f>VLOOKUP(Q72,Commission!$A$2:$B$6,2,TRUE)</f>
        <v>0.02</v>
      </c>
      <c r="U72">
        <f>Q72*T72</f>
        <v>119</v>
      </c>
      <c r="V72" t="str">
        <f>IF(AND(I72="Pending",Q72&gt;20000),"Follow Up","OK")</f>
        <v>OK</v>
      </c>
      <c r="W72" t="str">
        <f>_xlfn.XLOOKUP(C72,Customers!$A$2:$A$41,Customers!$D$2:$D$41)</f>
        <v>Corporate</v>
      </c>
    </row>
    <row r="73" spans="1:23" x14ac:dyDescent="0.3">
      <c r="A73" s="9" t="s">
        <v>314</v>
      </c>
      <c r="B73" s="10">
        <v>45348</v>
      </c>
      <c r="C73" s="9" t="s">
        <v>202</v>
      </c>
      <c r="D73" s="9" t="s">
        <v>143</v>
      </c>
      <c r="E73" s="9" t="s">
        <v>186</v>
      </c>
      <c r="F73" s="9" t="s">
        <v>160</v>
      </c>
      <c r="G73" s="9">
        <v>6</v>
      </c>
      <c r="H73" s="11">
        <v>0</v>
      </c>
      <c r="I73" s="9" t="s">
        <v>165</v>
      </c>
      <c r="J73" t="str">
        <f>PROPER(TRIM(F73))</f>
        <v>Latha Menon</v>
      </c>
      <c r="K73" t="str">
        <f>PROPER(TRIM(E73))</f>
        <v>North</v>
      </c>
      <c r="L73" t="str">
        <f>TRIM(D73)</f>
        <v>P116</v>
      </c>
      <c r="M73" t="str">
        <f>IFERROR(VLOOKUP(L73,Products!$A$2:$D$21,2,FALSE),"Unknown Product")</f>
        <v>Sneakers</v>
      </c>
      <c r="N73" t="str">
        <f>IFERROR(VLOOKUP(L73,Products!$A$2:$D$21,3,0),"Unknown ")</f>
        <v>Clothing</v>
      </c>
      <c r="O73">
        <f>IFERROR(VLOOKUP(L73,Products!$A$2:$D$21,4,0),0)</f>
        <v>4500</v>
      </c>
      <c r="P73" t="str">
        <f>IFERROR(INDEX(Customers!$C$2:$C$41,MATCH(C73,Customers!$A$2:$A$41,0)),"Unknown City")</f>
        <v>Chennai</v>
      </c>
      <c r="Q73" s="22">
        <f>G73*O73*(1-H73)</f>
        <v>27000</v>
      </c>
      <c r="R73" t="str">
        <f t="shared" si="1"/>
        <v>Feb-2024</v>
      </c>
      <c r="S73" t="str">
        <f>IF(Q73&gt;=50000,"Large",IF(Q73&gt;=20000,"Medium","Small"))</f>
        <v>Medium</v>
      </c>
      <c r="T73">
        <f>VLOOKUP(Q73,Commission!$A$2:$B$6,2,TRUE)</f>
        <v>0.04</v>
      </c>
      <c r="U73">
        <f>Q73*T73</f>
        <v>1080</v>
      </c>
      <c r="V73" t="str">
        <f>IF(AND(I73="Pending",Q73&gt;20000),"Follow Up","OK")</f>
        <v>Follow Up</v>
      </c>
      <c r="W73" t="str">
        <f>_xlfn.XLOOKUP(C73,Customers!$A$2:$A$41,Customers!$D$2:$D$41)</f>
        <v>Consumer</v>
      </c>
    </row>
    <row r="74" spans="1:23" x14ac:dyDescent="0.3">
      <c r="A74" s="9" t="s">
        <v>358</v>
      </c>
      <c r="B74" s="10">
        <v>45372</v>
      </c>
      <c r="C74" s="9" t="s">
        <v>304</v>
      </c>
      <c r="D74" s="9" t="s">
        <v>189</v>
      </c>
      <c r="E74" s="9" t="s">
        <v>186</v>
      </c>
      <c r="F74" s="9" t="s">
        <v>135</v>
      </c>
      <c r="G74" s="9">
        <v>6</v>
      </c>
      <c r="H74" s="11">
        <v>0</v>
      </c>
      <c r="I74" s="9" t="s">
        <v>145</v>
      </c>
      <c r="J74" t="str">
        <f>PROPER(TRIM(F74))</f>
        <v>Manoj Das</v>
      </c>
      <c r="K74" t="str">
        <f>PROPER(TRIM(E74))</f>
        <v>North</v>
      </c>
      <c r="L74" t="str">
        <f>TRIM(D74)</f>
        <v>P115</v>
      </c>
      <c r="M74" t="str">
        <f>IFERROR(VLOOKUP(L74,Products!$A$2:$D$21,2,FALSE),"Unknown Product")</f>
        <v>Jacket</v>
      </c>
      <c r="N74" t="str">
        <f>IFERROR(VLOOKUP(L74,Products!$A$2:$D$21,3,0),"Unknown ")</f>
        <v>Clothing</v>
      </c>
      <c r="O74">
        <f>IFERROR(VLOOKUP(L74,Products!$A$2:$D$21,4,0),0)</f>
        <v>3800</v>
      </c>
      <c r="P74" t="str">
        <f>IFERROR(INDEX(Customers!$C$2:$C$41,MATCH(C74,Customers!$A$2:$A$41,0)),"Unknown City")</f>
        <v>Chennai</v>
      </c>
      <c r="Q74" s="22">
        <f>G74*O74*(1-H74)</f>
        <v>22800</v>
      </c>
      <c r="R74" t="str">
        <f t="shared" si="1"/>
        <v>Mar-2024</v>
      </c>
      <c r="S74" t="str">
        <f>IF(Q74&gt;=50000,"Large",IF(Q74&gt;=20000,"Medium","Small"))</f>
        <v>Medium</v>
      </c>
      <c r="T74">
        <f>VLOOKUP(Q74,Commission!$A$2:$B$6,2,TRUE)</f>
        <v>0.03</v>
      </c>
      <c r="U74">
        <f>Q74*T74</f>
        <v>684</v>
      </c>
      <c r="V74" t="str">
        <f>IF(AND(I74="Pending",Q74&gt;20000),"Follow Up","OK")</f>
        <v>OK</v>
      </c>
      <c r="W74" t="str">
        <f>_xlfn.XLOOKUP(C74,Customers!$A$2:$A$41,Customers!$D$2:$D$41)</f>
        <v>Corporate</v>
      </c>
    </row>
    <row r="75" spans="1:23" x14ac:dyDescent="0.3">
      <c r="A75" s="9" t="s">
        <v>404</v>
      </c>
      <c r="B75" s="10">
        <v>45562</v>
      </c>
      <c r="C75" s="9" t="s">
        <v>169</v>
      </c>
      <c r="D75" s="9" t="s">
        <v>219</v>
      </c>
      <c r="E75" s="9" t="s">
        <v>186</v>
      </c>
      <c r="F75" s="9" t="s">
        <v>206</v>
      </c>
      <c r="G75" s="9">
        <v>5</v>
      </c>
      <c r="H75" s="11">
        <v>0.1</v>
      </c>
      <c r="I75" s="9" t="s">
        <v>145</v>
      </c>
      <c r="J75" t="str">
        <f>PROPER(TRIM(F75))</f>
        <v>Sunita Rao</v>
      </c>
      <c r="K75" t="str">
        <f>PROPER(TRIM(E75))</f>
        <v>North</v>
      </c>
      <c r="L75" t="str">
        <f>TRIM(D75)</f>
        <v>P104</v>
      </c>
      <c r="M75" t="str">
        <f>IFERROR(VLOOKUP(L75,Products!$A$2:$D$21,2,FALSE),"Unknown Product")</f>
        <v>Tablet</v>
      </c>
      <c r="N75" t="str">
        <f>IFERROR(VLOOKUP(L75,Products!$A$2:$D$21,3,0),"Unknown ")</f>
        <v>Electronics</v>
      </c>
      <c r="O75">
        <f>IFERROR(VLOOKUP(L75,Products!$A$2:$D$21,4,0),0)</f>
        <v>32000</v>
      </c>
      <c r="P75" t="str">
        <f>IFERROR(INDEX(Customers!$C$2:$C$41,MATCH(C75,Customers!$A$2:$A$41,0)),"Unknown City")</f>
        <v>Bengaluru</v>
      </c>
      <c r="Q75" s="22">
        <f>G75*O75*(1-H75)</f>
        <v>144000</v>
      </c>
      <c r="R75" t="str">
        <f t="shared" si="1"/>
        <v>Sep-2024</v>
      </c>
      <c r="S75" t="str">
        <f>IF(Q75&gt;=50000,"Large",IF(Q75&gt;=20000,"Medium","Small"))</f>
        <v>Large</v>
      </c>
      <c r="T75">
        <f>VLOOKUP(Q75,Commission!$A$2:$B$6,2,TRUE)</f>
        <v>0.06</v>
      </c>
      <c r="U75">
        <f>Q75*T75</f>
        <v>8640</v>
      </c>
      <c r="V75" t="str">
        <f>IF(AND(I75="Pending",Q75&gt;20000),"Follow Up","OK")</f>
        <v>OK</v>
      </c>
      <c r="W75" t="str">
        <f>_xlfn.XLOOKUP(C75,Customers!$A$2:$A$41,Customers!$D$2:$D$41)</f>
        <v>Consumer</v>
      </c>
    </row>
    <row r="76" spans="1:23" x14ac:dyDescent="0.3">
      <c r="A76" s="9" t="s">
        <v>336</v>
      </c>
      <c r="B76" s="10">
        <v>45548</v>
      </c>
      <c r="C76" s="9" t="s">
        <v>181</v>
      </c>
      <c r="D76" s="9" t="s">
        <v>189</v>
      </c>
      <c r="E76" s="9" t="s">
        <v>186</v>
      </c>
      <c r="F76" s="9" t="s">
        <v>276</v>
      </c>
      <c r="G76" s="9">
        <v>5</v>
      </c>
      <c r="H76" s="11">
        <v>0.1</v>
      </c>
      <c r="I76" s="9" t="s">
        <v>165</v>
      </c>
      <c r="J76" t="str">
        <f>PROPER(TRIM(F76))</f>
        <v>Kiran Shah</v>
      </c>
      <c r="K76" t="str">
        <f>PROPER(TRIM(E76))</f>
        <v>North</v>
      </c>
      <c r="L76" t="str">
        <f>TRIM(D76)</f>
        <v>P115</v>
      </c>
      <c r="M76" t="str">
        <f>IFERROR(VLOOKUP(L76,Products!$A$2:$D$21,2,FALSE),"Unknown Product")</f>
        <v>Jacket</v>
      </c>
      <c r="N76" t="str">
        <f>IFERROR(VLOOKUP(L76,Products!$A$2:$D$21,3,0),"Unknown ")</f>
        <v>Clothing</v>
      </c>
      <c r="O76">
        <f>IFERROR(VLOOKUP(L76,Products!$A$2:$D$21,4,0),0)</f>
        <v>3800</v>
      </c>
      <c r="P76" t="str">
        <f>IFERROR(INDEX(Customers!$C$2:$C$41,MATCH(C76,Customers!$A$2:$A$41,0)),"Unknown City")</f>
        <v>Pune</v>
      </c>
      <c r="Q76" s="22">
        <f>G76*O76*(1-H76)</f>
        <v>17100</v>
      </c>
      <c r="R76" t="str">
        <f t="shared" si="1"/>
        <v>Sep-2024</v>
      </c>
      <c r="S76" t="str">
        <f>IF(Q76&gt;=50000,"Large",IF(Q76&gt;=20000,"Medium","Small"))</f>
        <v>Small</v>
      </c>
      <c r="T76">
        <f>VLOOKUP(Q76,Commission!$A$2:$B$6,2,TRUE)</f>
        <v>0.03</v>
      </c>
      <c r="U76">
        <f>Q76*T76</f>
        <v>513</v>
      </c>
      <c r="V76" t="str">
        <f>IF(AND(I76="Pending",Q76&gt;20000),"Follow Up","OK")</f>
        <v>OK</v>
      </c>
      <c r="W76" t="str">
        <f>_xlfn.XLOOKUP(C76,Customers!$A$2:$A$41,Customers!$D$2:$D$41)</f>
        <v>Consumer</v>
      </c>
    </row>
    <row r="77" spans="1:23" x14ac:dyDescent="0.3">
      <c r="A77" s="9" t="s">
        <v>183</v>
      </c>
      <c r="B77" s="10">
        <v>45549</v>
      </c>
      <c r="C77" s="9" t="s">
        <v>184</v>
      </c>
      <c r="D77" s="9" t="s">
        <v>185</v>
      </c>
      <c r="E77" s="9" t="s">
        <v>186</v>
      </c>
      <c r="F77" s="9" t="s">
        <v>131</v>
      </c>
      <c r="G77" s="9">
        <v>5</v>
      </c>
      <c r="H77" s="11">
        <v>0</v>
      </c>
      <c r="I77" s="9" t="s">
        <v>126</v>
      </c>
      <c r="J77" t="str">
        <f>PROPER(TRIM(F77))</f>
        <v>Reena Joshi</v>
      </c>
      <c r="K77" t="str">
        <f>PROPER(TRIM(E77))</f>
        <v>North</v>
      </c>
      <c r="L77" t="str">
        <f>TRIM(D77)</f>
        <v>P103</v>
      </c>
      <c r="M77" t="str">
        <f>IFERROR(VLOOKUP(L77,Products!$A$2:$D$21,2,FALSE),"Unknown Product")</f>
        <v>Headphones</v>
      </c>
      <c r="N77" t="str">
        <f>IFERROR(VLOOKUP(L77,Products!$A$2:$D$21,3,0),"Unknown ")</f>
        <v>Electronics</v>
      </c>
      <c r="O77">
        <f>IFERROR(VLOOKUP(L77,Products!$A$2:$D$21,4,0),0)</f>
        <v>3500</v>
      </c>
      <c r="P77" t="str">
        <f>IFERROR(INDEX(Customers!$C$2:$C$41,MATCH(C77,Customers!$A$2:$A$41,0)),"Unknown City")</f>
        <v>Mumbai</v>
      </c>
      <c r="Q77" s="22">
        <f>G77*O77*(1-H77)</f>
        <v>17500</v>
      </c>
      <c r="R77" t="str">
        <f t="shared" si="1"/>
        <v>Sep-2024</v>
      </c>
      <c r="S77" t="str">
        <f>IF(Q77&gt;=50000,"Large",IF(Q77&gt;=20000,"Medium","Small"))</f>
        <v>Small</v>
      </c>
      <c r="T77">
        <f>VLOOKUP(Q77,Commission!$A$2:$B$6,2,TRUE)</f>
        <v>0.03</v>
      </c>
      <c r="U77">
        <f>Q77*T77</f>
        <v>525</v>
      </c>
      <c r="V77" t="str">
        <f>IF(AND(I77="Pending",Q77&gt;20000),"Follow Up","OK")</f>
        <v>OK</v>
      </c>
      <c r="W77" t="str">
        <f>_xlfn.XLOOKUP(C77,Customers!$A$2:$A$41,Customers!$D$2:$D$41)</f>
        <v>Home Office</v>
      </c>
    </row>
    <row r="78" spans="1:23" x14ac:dyDescent="0.3">
      <c r="A78" s="9" t="s">
        <v>379</v>
      </c>
      <c r="B78" s="10">
        <v>45592</v>
      </c>
      <c r="C78" s="9" t="s">
        <v>156</v>
      </c>
      <c r="D78" s="9" t="s">
        <v>138</v>
      </c>
      <c r="E78" s="9" t="s">
        <v>186</v>
      </c>
      <c r="F78" s="9" t="s">
        <v>135</v>
      </c>
      <c r="G78" s="9">
        <v>5</v>
      </c>
      <c r="H78" s="11">
        <v>0.15</v>
      </c>
      <c r="I78" s="9" t="s">
        <v>126</v>
      </c>
      <c r="J78" t="str">
        <f>PROPER(TRIM(F78))</f>
        <v>Manoj Das</v>
      </c>
      <c r="K78" t="str">
        <f>PROPER(TRIM(E78))</f>
        <v>North</v>
      </c>
      <c r="L78" t="str">
        <f>TRIM(D78)</f>
        <v>P113</v>
      </c>
      <c r="M78" t="str">
        <f>IFERROR(VLOOKUP(L78,Products!$A$2:$D$21,2,FALSE),"Unknown Product")</f>
        <v>Protein Bar Box</v>
      </c>
      <c r="N78" t="str">
        <f>IFERROR(VLOOKUP(L78,Products!$A$2:$D$21,3,0),"Unknown ")</f>
        <v>Grocery</v>
      </c>
      <c r="O78">
        <f>IFERROR(VLOOKUP(L78,Products!$A$2:$D$21,4,0),0)</f>
        <v>1200</v>
      </c>
      <c r="P78" t="str">
        <f>IFERROR(INDEX(Customers!$C$2:$C$41,MATCH(C78,Customers!$A$2:$A$41,0)),"Unknown City")</f>
        <v>Hyderabad</v>
      </c>
      <c r="Q78" s="22">
        <f>G78*O78*(1-H78)</f>
        <v>5100</v>
      </c>
      <c r="R78" t="str">
        <f t="shared" si="1"/>
        <v>Oct-2024</v>
      </c>
      <c r="S78" t="str">
        <f>IF(Q78&gt;=50000,"Large",IF(Q78&gt;=20000,"Medium","Small"))</f>
        <v>Small</v>
      </c>
      <c r="T78">
        <f>VLOOKUP(Q78,Commission!$A$2:$B$6,2,TRUE)</f>
        <v>0.02</v>
      </c>
      <c r="U78">
        <f>Q78*T78</f>
        <v>102</v>
      </c>
      <c r="V78" t="str">
        <f>IF(AND(I78="Pending",Q78&gt;20000),"Follow Up","OK")</f>
        <v>OK</v>
      </c>
      <c r="W78" t="str">
        <f>_xlfn.XLOOKUP(C78,Customers!$A$2:$A$41,Customers!$D$2:$D$41)</f>
        <v>Consumer</v>
      </c>
    </row>
    <row r="79" spans="1:23" x14ac:dyDescent="0.3">
      <c r="A79" s="9" t="s">
        <v>216</v>
      </c>
      <c r="B79" s="10">
        <v>45354</v>
      </c>
      <c r="C79" s="9" t="s">
        <v>150</v>
      </c>
      <c r="D79" s="9" t="s">
        <v>174</v>
      </c>
      <c r="E79" s="9" t="s">
        <v>186</v>
      </c>
      <c r="F79" s="9" t="s">
        <v>135</v>
      </c>
      <c r="G79" s="9">
        <v>5</v>
      </c>
      <c r="H79" s="11">
        <v>0.05</v>
      </c>
      <c r="I79" s="9" t="s">
        <v>165</v>
      </c>
      <c r="J79" t="str">
        <f>PROPER(TRIM(F79))</f>
        <v>Manoj Das</v>
      </c>
      <c r="K79" t="str">
        <f>PROPER(TRIM(E79))</f>
        <v>North</v>
      </c>
      <c r="L79" t="str">
        <f>TRIM(D79)</f>
        <v>P112</v>
      </c>
      <c r="M79" t="str">
        <f>IFERROR(VLOOKUP(L79,Products!$A$2:$D$21,2,FALSE),"Unknown Product")</f>
        <v>Olive Oil</v>
      </c>
      <c r="N79" t="str">
        <f>IFERROR(VLOOKUP(L79,Products!$A$2:$D$21,3,0),"Unknown ")</f>
        <v>Grocery</v>
      </c>
      <c r="O79">
        <f>IFERROR(VLOOKUP(L79,Products!$A$2:$D$21,4,0),0)</f>
        <v>980</v>
      </c>
      <c r="P79" t="str">
        <f>IFERROR(INDEX(Customers!$C$2:$C$41,MATCH(C79,Customers!$A$2:$A$41,0)),"Unknown City")</f>
        <v>Kolkata</v>
      </c>
      <c r="Q79" s="22">
        <f>G79*O79*(1-H79)</f>
        <v>4655</v>
      </c>
      <c r="R79" t="str">
        <f t="shared" si="1"/>
        <v>Mar-2024</v>
      </c>
      <c r="S79" t="str">
        <f>IF(Q79&gt;=50000,"Large",IF(Q79&gt;=20000,"Medium","Small"))</f>
        <v>Small</v>
      </c>
      <c r="T79">
        <f>VLOOKUP(Q79,Commission!$A$2:$B$6,2,TRUE)</f>
        <v>0.02</v>
      </c>
      <c r="U79">
        <f>Q79*T79</f>
        <v>93.100000000000009</v>
      </c>
      <c r="V79" t="str">
        <f>IF(AND(I79="Pending",Q79&gt;20000),"Follow Up","OK")</f>
        <v>OK</v>
      </c>
      <c r="W79" t="str">
        <f>_xlfn.XLOOKUP(C79,Customers!$A$2:$A$41,Customers!$D$2:$D$41)</f>
        <v>Corporate</v>
      </c>
    </row>
    <row r="80" spans="1:23" x14ac:dyDescent="0.3">
      <c r="A80" s="9" t="s">
        <v>312</v>
      </c>
      <c r="B80" s="10">
        <v>45396</v>
      </c>
      <c r="C80" s="9" t="s">
        <v>264</v>
      </c>
      <c r="D80" s="9" t="s">
        <v>246</v>
      </c>
      <c r="E80" s="9" t="s">
        <v>186</v>
      </c>
      <c r="F80" s="9" t="s">
        <v>206</v>
      </c>
      <c r="G80" s="9">
        <v>5</v>
      </c>
      <c r="H80" s="11">
        <v>0</v>
      </c>
      <c r="I80" s="9" t="s">
        <v>126</v>
      </c>
      <c r="J80" t="str">
        <f>PROPER(TRIM(F80))</f>
        <v>Sunita Rao</v>
      </c>
      <c r="K80" t="str">
        <f>PROPER(TRIM(E80))</f>
        <v>North</v>
      </c>
      <c r="L80" t="str">
        <f>TRIM(D80)</f>
        <v>P999</v>
      </c>
      <c r="M80" t="str">
        <f>IFERROR(VLOOKUP(L80,Products!$A$2:$D$21,2,FALSE),"Unknown Product")</f>
        <v>Unknown Product</v>
      </c>
      <c r="N80" t="str">
        <f>IFERROR(VLOOKUP(L80,Products!$A$2:$D$21,3,0),"Unknown ")</f>
        <v xml:space="preserve">Unknown </v>
      </c>
      <c r="O80">
        <f>IFERROR(VLOOKUP(L80,Products!$A$2:$D$21,4,0),0)</f>
        <v>0</v>
      </c>
      <c r="P80" t="str">
        <f>IFERROR(INDEX(Customers!$C$2:$C$41,MATCH(C80,Customers!$A$2:$A$41,0)),"Unknown City")</f>
        <v>Bengaluru</v>
      </c>
      <c r="Q80" s="22">
        <f>G80*O80*(1-H80)</f>
        <v>0</v>
      </c>
      <c r="R80" t="str">
        <f t="shared" si="1"/>
        <v>Apr-2024</v>
      </c>
      <c r="S80" t="str">
        <f>IF(Q80&gt;=50000,"Large",IF(Q80&gt;=20000,"Medium","Small"))</f>
        <v>Small</v>
      </c>
      <c r="T80">
        <f>VLOOKUP(Q80,Commission!$A$2:$B$6,2,TRUE)</f>
        <v>0.02</v>
      </c>
      <c r="U80">
        <f>Q80*T80</f>
        <v>0</v>
      </c>
      <c r="V80" t="str">
        <f>IF(AND(I80="Pending",Q80&gt;20000),"Follow Up","OK")</f>
        <v>OK</v>
      </c>
      <c r="W80" t="str">
        <f>_xlfn.XLOOKUP(C80,Customers!$A$2:$A$41,Customers!$D$2:$D$41)</f>
        <v>Home Office</v>
      </c>
    </row>
    <row r="81" spans="1:23" x14ac:dyDescent="0.3">
      <c r="A81" s="9" t="s">
        <v>308</v>
      </c>
      <c r="B81" s="10">
        <v>45615</v>
      </c>
      <c r="C81" s="9" t="s">
        <v>128</v>
      </c>
      <c r="D81" s="9" t="s">
        <v>261</v>
      </c>
      <c r="E81" s="9" t="s">
        <v>186</v>
      </c>
      <c r="F81" s="9" t="s">
        <v>160</v>
      </c>
      <c r="G81" s="9">
        <v>4</v>
      </c>
      <c r="H81" s="11">
        <v>0.05</v>
      </c>
      <c r="I81" s="9" t="s">
        <v>165</v>
      </c>
      <c r="J81" t="str">
        <f>PROPER(TRIM(F81))</f>
        <v>Latha Menon</v>
      </c>
      <c r="K81" t="str">
        <f>PROPER(TRIM(E81))</f>
        <v>North</v>
      </c>
      <c r="L81" t="str">
        <f>TRIM(D81)</f>
        <v>P109</v>
      </c>
      <c r="M81" t="str">
        <f>IFERROR(VLOOKUP(L81,Products!$A$2:$D$21,2,FALSE),"Unknown Product")</f>
        <v>Sofa Set</v>
      </c>
      <c r="N81" t="str">
        <f>IFERROR(VLOOKUP(L81,Products!$A$2:$D$21,3,0),"Unknown ")</f>
        <v>Furniture</v>
      </c>
      <c r="O81">
        <f>IFERROR(VLOOKUP(L81,Products!$A$2:$D$21,4,0),0)</f>
        <v>42000</v>
      </c>
      <c r="P81" t="str">
        <f>IFERROR(INDEX(Customers!$C$2:$C$41,MATCH(C81,Customers!$A$2:$A$41,0)),"Unknown City")</f>
        <v>Delhi</v>
      </c>
      <c r="Q81" s="22">
        <f>G81*O81*(1-H81)</f>
        <v>159600</v>
      </c>
      <c r="R81" t="str">
        <f t="shared" si="1"/>
        <v>Nov-2024</v>
      </c>
      <c r="S81" t="str">
        <f>IF(Q81&gt;=50000,"Large",IF(Q81&gt;=20000,"Medium","Small"))</f>
        <v>Large</v>
      </c>
      <c r="T81">
        <f>VLOOKUP(Q81,Commission!$A$2:$B$6,2,TRUE)</f>
        <v>0.06</v>
      </c>
      <c r="U81">
        <f>Q81*T81</f>
        <v>9576</v>
      </c>
      <c r="V81" t="str">
        <f>IF(AND(I81="Pending",Q81&gt;20000),"Follow Up","OK")</f>
        <v>Follow Up</v>
      </c>
      <c r="W81" t="str">
        <f>_xlfn.XLOOKUP(C81,Customers!$A$2:$A$41,Customers!$D$2:$D$41)</f>
        <v>Consumer</v>
      </c>
    </row>
    <row r="82" spans="1:23" x14ac:dyDescent="0.3">
      <c r="A82" s="9" t="s">
        <v>347</v>
      </c>
      <c r="B82" s="10">
        <v>45539</v>
      </c>
      <c r="C82" s="9" t="s">
        <v>142</v>
      </c>
      <c r="D82" s="9" t="s">
        <v>129</v>
      </c>
      <c r="E82" s="9" t="s">
        <v>186</v>
      </c>
      <c r="F82" s="9" t="s">
        <v>140</v>
      </c>
      <c r="G82" s="9">
        <v>4</v>
      </c>
      <c r="H82" s="11">
        <v>0</v>
      </c>
      <c r="I82" s="9" t="s">
        <v>126</v>
      </c>
      <c r="J82" t="str">
        <f>PROPER(TRIM(F82))</f>
        <v>Pooja Nair</v>
      </c>
      <c r="K82" t="str">
        <f>PROPER(TRIM(E82))</f>
        <v>North</v>
      </c>
      <c r="L82" t="str">
        <f>TRIM(D82)</f>
        <v>P118</v>
      </c>
      <c r="M82" t="str">
        <f>IFERROR(VLOOKUP(L82,Products!$A$2:$D$21,2,FALSE),"Unknown Product")</f>
        <v>Jeans</v>
      </c>
      <c r="N82" t="str">
        <f>IFERROR(VLOOKUP(L82,Products!$A$2:$D$21,3,0),"Unknown ")</f>
        <v>Clothing</v>
      </c>
      <c r="O82">
        <f>IFERROR(VLOOKUP(L82,Products!$A$2:$D$21,4,0),0)</f>
        <v>2800</v>
      </c>
      <c r="P82" t="str">
        <f>IFERROR(INDEX(Customers!$C$2:$C$41,MATCH(C82,Customers!$A$2:$A$41,0)),"Unknown City")</f>
        <v>Bengaluru</v>
      </c>
      <c r="Q82" s="22">
        <f>G82*O82*(1-H82)</f>
        <v>11200</v>
      </c>
      <c r="R82" t="str">
        <f t="shared" si="1"/>
        <v>Sep-2024</v>
      </c>
      <c r="S82" t="str">
        <f>IF(Q82&gt;=50000,"Large",IF(Q82&gt;=20000,"Medium","Small"))</f>
        <v>Small</v>
      </c>
      <c r="T82">
        <f>VLOOKUP(Q82,Commission!$A$2:$B$6,2,TRUE)</f>
        <v>0.03</v>
      </c>
      <c r="U82">
        <f>Q82*T82</f>
        <v>336</v>
      </c>
      <c r="V82" t="str">
        <f>IF(AND(I82="Pending",Q82&gt;20000),"Follow Up","OK")</f>
        <v>OK</v>
      </c>
      <c r="W82" t="str">
        <f>_xlfn.XLOOKUP(C82,Customers!$A$2:$A$41,Customers!$D$2:$D$41)</f>
        <v>Consumer</v>
      </c>
    </row>
    <row r="83" spans="1:23" x14ac:dyDescent="0.3">
      <c r="A83" s="9" t="s">
        <v>311</v>
      </c>
      <c r="B83" s="10">
        <v>45566</v>
      </c>
      <c r="C83" s="9" t="s">
        <v>142</v>
      </c>
      <c r="D83" s="9" t="s">
        <v>174</v>
      </c>
      <c r="E83" s="9" t="s">
        <v>186</v>
      </c>
      <c r="F83" s="9" t="s">
        <v>206</v>
      </c>
      <c r="G83" s="9">
        <v>4</v>
      </c>
      <c r="H83" s="11">
        <v>0.1</v>
      </c>
      <c r="I83" s="9" t="s">
        <v>165</v>
      </c>
      <c r="J83" t="str">
        <f>PROPER(TRIM(F83))</f>
        <v>Sunita Rao</v>
      </c>
      <c r="K83" t="str">
        <f>PROPER(TRIM(E83))</f>
        <v>North</v>
      </c>
      <c r="L83" t="str">
        <f>TRIM(D83)</f>
        <v>P112</v>
      </c>
      <c r="M83" t="str">
        <f>IFERROR(VLOOKUP(L83,Products!$A$2:$D$21,2,FALSE),"Unknown Product")</f>
        <v>Olive Oil</v>
      </c>
      <c r="N83" t="str">
        <f>IFERROR(VLOOKUP(L83,Products!$A$2:$D$21,3,0),"Unknown ")</f>
        <v>Grocery</v>
      </c>
      <c r="O83">
        <f>IFERROR(VLOOKUP(L83,Products!$A$2:$D$21,4,0),0)</f>
        <v>980</v>
      </c>
      <c r="P83" t="str">
        <f>IFERROR(INDEX(Customers!$C$2:$C$41,MATCH(C83,Customers!$A$2:$A$41,0)),"Unknown City")</f>
        <v>Bengaluru</v>
      </c>
      <c r="Q83" s="22">
        <f>G83*O83*(1-H83)</f>
        <v>3528</v>
      </c>
      <c r="R83" t="str">
        <f t="shared" si="1"/>
        <v>Oct-2024</v>
      </c>
      <c r="S83" t="str">
        <f>IF(Q83&gt;=50000,"Large",IF(Q83&gt;=20000,"Medium","Small"))</f>
        <v>Small</v>
      </c>
      <c r="T83">
        <f>VLOOKUP(Q83,Commission!$A$2:$B$6,2,TRUE)</f>
        <v>0.02</v>
      </c>
      <c r="U83">
        <f>Q83*T83</f>
        <v>70.56</v>
      </c>
      <c r="V83" t="str">
        <f>IF(AND(I83="Pending",Q83&gt;20000),"Follow Up","OK")</f>
        <v>OK</v>
      </c>
      <c r="W83" t="str">
        <f>_xlfn.XLOOKUP(C83,Customers!$A$2:$A$41,Customers!$D$2:$D$41)</f>
        <v>Consumer</v>
      </c>
    </row>
    <row r="84" spans="1:23" x14ac:dyDescent="0.3">
      <c r="A84" s="9" t="s">
        <v>344</v>
      </c>
      <c r="B84" s="10">
        <v>45494</v>
      </c>
      <c r="C84" s="9" t="s">
        <v>202</v>
      </c>
      <c r="D84" s="9" t="s">
        <v>133</v>
      </c>
      <c r="E84" s="9" t="s">
        <v>186</v>
      </c>
      <c r="F84" s="9" t="s">
        <v>160</v>
      </c>
      <c r="G84" s="9">
        <v>4</v>
      </c>
      <c r="H84" s="11">
        <v>0</v>
      </c>
      <c r="I84" s="9" t="s">
        <v>126</v>
      </c>
      <c r="J84" t="str">
        <f>PROPER(TRIM(F84))</f>
        <v>Latha Menon</v>
      </c>
      <c r="K84" t="str">
        <f>PROPER(TRIM(E84))</f>
        <v>North</v>
      </c>
      <c r="L84" t="str">
        <f>TRIM(D84)</f>
        <v>P114</v>
      </c>
      <c r="M84" t="str">
        <f>IFERROR(VLOOKUP(L84,Products!$A$2:$D$21,2,FALSE),"Unknown Product")</f>
        <v>Almonds 1kg</v>
      </c>
      <c r="N84" t="str">
        <f>IFERROR(VLOOKUP(L84,Products!$A$2:$D$21,3,0),"Unknown ")</f>
        <v>Grocery</v>
      </c>
      <c r="O84">
        <f>IFERROR(VLOOKUP(L84,Products!$A$2:$D$21,4,0),0)</f>
        <v>850</v>
      </c>
      <c r="P84" t="str">
        <f>IFERROR(INDEX(Customers!$C$2:$C$41,MATCH(C84,Customers!$A$2:$A$41,0)),"Unknown City")</f>
        <v>Chennai</v>
      </c>
      <c r="Q84" s="22">
        <f>G84*O84*(1-H84)</f>
        <v>3400</v>
      </c>
      <c r="R84" t="str">
        <f t="shared" si="1"/>
        <v>Jul-2024</v>
      </c>
      <c r="S84" t="str">
        <f>IF(Q84&gt;=50000,"Large",IF(Q84&gt;=20000,"Medium","Small"))</f>
        <v>Small</v>
      </c>
      <c r="T84">
        <f>VLOOKUP(Q84,Commission!$A$2:$B$6,2,TRUE)</f>
        <v>0.02</v>
      </c>
      <c r="U84">
        <f>Q84*T84</f>
        <v>68</v>
      </c>
      <c r="V84" t="str">
        <f>IF(AND(I84="Pending",Q84&gt;20000),"Follow Up","OK")</f>
        <v>OK</v>
      </c>
      <c r="W84" t="str">
        <f>_xlfn.XLOOKUP(C84,Customers!$A$2:$A$41,Customers!$D$2:$D$41)</f>
        <v>Consumer</v>
      </c>
    </row>
    <row r="85" spans="1:23" x14ac:dyDescent="0.3">
      <c r="A85" s="9" t="s">
        <v>338</v>
      </c>
      <c r="B85" s="10">
        <v>45619</v>
      </c>
      <c r="C85" s="9" t="s">
        <v>233</v>
      </c>
      <c r="D85" s="9" t="s">
        <v>159</v>
      </c>
      <c r="E85" s="9" t="s">
        <v>186</v>
      </c>
      <c r="F85" s="9" t="s">
        <v>164</v>
      </c>
      <c r="G85" s="9">
        <v>4</v>
      </c>
      <c r="H85" s="11">
        <v>0</v>
      </c>
      <c r="I85" s="9" t="s">
        <v>126</v>
      </c>
      <c r="J85" t="str">
        <f>PROPER(TRIM(F85))</f>
        <v>Amit Verma</v>
      </c>
      <c r="K85" t="str">
        <f>PROPER(TRIM(E85))</f>
        <v>North</v>
      </c>
      <c r="L85" t="str">
        <f>TRIM(D85)</f>
        <v>P111</v>
      </c>
      <c r="M85" t="str">
        <f>IFERROR(VLOOKUP(L85,Products!$A$2:$D$21,2,FALSE),"Unknown Product")</f>
        <v>Green Tea</v>
      </c>
      <c r="N85" t="str">
        <f>IFERROR(VLOOKUP(L85,Products!$A$2:$D$21,3,0),"Unknown ")</f>
        <v>Grocery</v>
      </c>
      <c r="O85">
        <f>IFERROR(VLOOKUP(L85,Products!$A$2:$D$21,4,0),0)</f>
        <v>420</v>
      </c>
      <c r="P85" t="str">
        <f>IFERROR(INDEX(Customers!$C$2:$C$41,MATCH(C85,Customers!$A$2:$A$41,0)),"Unknown City")</f>
        <v>Mumbai</v>
      </c>
      <c r="Q85" s="22">
        <f>G85*O85*(1-H85)</f>
        <v>1680</v>
      </c>
      <c r="R85" t="str">
        <f t="shared" si="1"/>
        <v>Nov-2024</v>
      </c>
      <c r="S85" t="str">
        <f>IF(Q85&gt;=50000,"Large",IF(Q85&gt;=20000,"Medium","Small"))</f>
        <v>Small</v>
      </c>
      <c r="T85">
        <f>VLOOKUP(Q85,Commission!$A$2:$B$6,2,TRUE)</f>
        <v>0.02</v>
      </c>
      <c r="U85">
        <f>Q85*T85</f>
        <v>33.6</v>
      </c>
      <c r="V85" t="str">
        <f>IF(AND(I85="Pending",Q85&gt;20000),"Follow Up","OK")</f>
        <v>OK</v>
      </c>
      <c r="W85" t="str">
        <f>_xlfn.XLOOKUP(C85,Customers!$A$2:$A$41,Customers!$D$2:$D$41)</f>
        <v>Corporate</v>
      </c>
    </row>
    <row r="86" spans="1:23" x14ac:dyDescent="0.3">
      <c r="A86" s="9" t="s">
        <v>408</v>
      </c>
      <c r="B86" s="10">
        <v>45292</v>
      </c>
      <c r="C86" s="9" t="s">
        <v>167</v>
      </c>
      <c r="D86" s="9" t="s">
        <v>192</v>
      </c>
      <c r="E86" s="9" t="s">
        <v>186</v>
      </c>
      <c r="F86" s="9" t="s">
        <v>135</v>
      </c>
      <c r="G86" s="9">
        <v>3</v>
      </c>
      <c r="H86" s="11">
        <v>0.15</v>
      </c>
      <c r="I86" s="9" t="s">
        <v>126</v>
      </c>
      <c r="J86" t="str">
        <f>PROPER(TRIM(F86))</f>
        <v>Manoj Das</v>
      </c>
      <c r="K86" t="str">
        <f>PROPER(TRIM(E86))</f>
        <v>North</v>
      </c>
      <c r="L86" t="str">
        <f>TRIM(D86)</f>
        <v>P108</v>
      </c>
      <c r="M86" t="str">
        <f>IFERROR(VLOOKUP(L86,Products!$A$2:$D$21,2,FALSE),"Unknown Product")</f>
        <v>Bookshelf</v>
      </c>
      <c r="N86" t="str">
        <f>IFERROR(VLOOKUP(L86,Products!$A$2:$D$21,3,0),"Unknown ")</f>
        <v>Furniture</v>
      </c>
      <c r="O86">
        <f>IFERROR(VLOOKUP(L86,Products!$A$2:$D$21,4,0),0)</f>
        <v>6200</v>
      </c>
      <c r="P86" t="str">
        <f>IFERROR(INDEX(Customers!$C$2:$C$41,MATCH(C86,Customers!$A$2:$A$41,0)),"Unknown City")</f>
        <v>Bengaluru</v>
      </c>
      <c r="Q86" s="22">
        <f>G86*O86*(1-H86)</f>
        <v>15810</v>
      </c>
      <c r="R86" t="str">
        <f t="shared" si="1"/>
        <v>Jan-2024</v>
      </c>
      <c r="S86" t="str">
        <f>IF(Q86&gt;=50000,"Large",IF(Q86&gt;=20000,"Medium","Small"))</f>
        <v>Small</v>
      </c>
      <c r="T86">
        <f>VLOOKUP(Q86,Commission!$A$2:$B$6,2,TRUE)</f>
        <v>0.03</v>
      </c>
      <c r="U86">
        <f>Q86*T86</f>
        <v>474.29999999999995</v>
      </c>
      <c r="V86" t="str">
        <f>IF(AND(I86="Pending",Q86&gt;20000),"Follow Up","OK")</f>
        <v>OK</v>
      </c>
      <c r="W86" t="str">
        <f>_xlfn.XLOOKUP(C86,Customers!$A$2:$A$41,Customers!$D$2:$D$41)</f>
        <v>Consumer</v>
      </c>
    </row>
    <row r="87" spans="1:23" x14ac:dyDescent="0.3">
      <c r="A87" s="9" t="s">
        <v>214</v>
      </c>
      <c r="B87" s="10">
        <v>45654</v>
      </c>
      <c r="C87" s="9" t="s">
        <v>215</v>
      </c>
      <c r="D87" s="9" t="s">
        <v>189</v>
      </c>
      <c r="E87" s="9" t="s">
        <v>186</v>
      </c>
      <c r="F87" s="9" t="s">
        <v>206</v>
      </c>
      <c r="G87" s="9">
        <v>3</v>
      </c>
      <c r="H87" s="11">
        <v>0.15</v>
      </c>
      <c r="I87" s="9" t="s">
        <v>126</v>
      </c>
      <c r="J87" t="str">
        <f>PROPER(TRIM(F87))</f>
        <v>Sunita Rao</v>
      </c>
      <c r="K87" t="str">
        <f>PROPER(TRIM(E87))</f>
        <v>North</v>
      </c>
      <c r="L87" t="str">
        <f>TRIM(D87)</f>
        <v>P115</v>
      </c>
      <c r="M87" t="str">
        <f>IFERROR(VLOOKUP(L87,Products!$A$2:$D$21,2,FALSE),"Unknown Product")</f>
        <v>Jacket</v>
      </c>
      <c r="N87" t="str">
        <f>IFERROR(VLOOKUP(L87,Products!$A$2:$D$21,3,0),"Unknown ")</f>
        <v>Clothing</v>
      </c>
      <c r="O87">
        <f>IFERROR(VLOOKUP(L87,Products!$A$2:$D$21,4,0),0)</f>
        <v>3800</v>
      </c>
      <c r="P87" t="str">
        <f>IFERROR(INDEX(Customers!$C$2:$C$41,MATCH(C87,Customers!$A$2:$A$41,0)),"Unknown City")</f>
        <v>Pune</v>
      </c>
      <c r="Q87" s="22">
        <f>G87*O87*(1-H87)</f>
        <v>9690</v>
      </c>
      <c r="R87" t="str">
        <f t="shared" si="1"/>
        <v>Dec-2024</v>
      </c>
      <c r="S87" t="str">
        <f>IF(Q87&gt;=50000,"Large",IF(Q87&gt;=20000,"Medium","Small"))</f>
        <v>Small</v>
      </c>
      <c r="T87">
        <f>VLOOKUP(Q87,Commission!$A$2:$B$6,2,TRUE)</f>
        <v>0.02</v>
      </c>
      <c r="U87">
        <f>Q87*T87</f>
        <v>193.8</v>
      </c>
      <c r="V87" t="str">
        <f>IF(AND(I87="Pending",Q87&gt;20000),"Follow Up","OK")</f>
        <v>OK</v>
      </c>
      <c r="W87" t="str">
        <f>_xlfn.XLOOKUP(C87,Customers!$A$2:$A$41,Customers!$D$2:$D$41)</f>
        <v>Consumer</v>
      </c>
    </row>
    <row r="88" spans="1:23" x14ac:dyDescent="0.3">
      <c r="A88" s="9" t="s">
        <v>321</v>
      </c>
      <c r="B88" s="10">
        <v>45517</v>
      </c>
      <c r="C88" s="9" t="s">
        <v>162</v>
      </c>
      <c r="D88" s="9" t="s">
        <v>224</v>
      </c>
      <c r="E88" s="9" t="s">
        <v>186</v>
      </c>
      <c r="F88" s="9" t="s">
        <v>322</v>
      </c>
      <c r="G88" s="9">
        <v>3</v>
      </c>
      <c r="H88" s="11">
        <v>0</v>
      </c>
      <c r="I88" s="9" t="s">
        <v>165</v>
      </c>
      <c r="J88" t="str">
        <f>PROPER(TRIM(F88))</f>
        <v>Kiran Shah</v>
      </c>
      <c r="K88" t="str">
        <f>PROPER(TRIM(E88))</f>
        <v>North</v>
      </c>
      <c r="L88" t="str">
        <f>TRIM(D88)</f>
        <v>P120</v>
      </c>
      <c r="M88" t="str">
        <f>IFERROR(VLOOKUP(L88,Products!$A$2:$D$21,2,FALSE),"Unknown Product")</f>
        <v>Printer Paper</v>
      </c>
      <c r="N88" t="str">
        <f>IFERROR(VLOOKUP(L88,Products!$A$2:$D$21,3,0),"Unknown ")</f>
        <v>Stationery</v>
      </c>
      <c r="O88">
        <f>IFERROR(VLOOKUP(L88,Products!$A$2:$D$21,4,0),0)</f>
        <v>620</v>
      </c>
      <c r="P88" t="str">
        <f>IFERROR(INDEX(Customers!$C$2:$C$41,MATCH(C88,Customers!$A$2:$A$41,0)),"Unknown City")</f>
        <v>Delhi</v>
      </c>
      <c r="Q88" s="22">
        <f>G88*O88*(1-H88)</f>
        <v>1860</v>
      </c>
      <c r="R88" t="str">
        <f t="shared" si="1"/>
        <v>Aug-2024</v>
      </c>
      <c r="S88" t="str">
        <f>IF(Q88&gt;=50000,"Large",IF(Q88&gt;=20000,"Medium","Small"))</f>
        <v>Small</v>
      </c>
      <c r="T88">
        <f>VLOOKUP(Q88,Commission!$A$2:$B$6,2,TRUE)</f>
        <v>0.02</v>
      </c>
      <c r="U88">
        <f>Q88*T88</f>
        <v>37.200000000000003</v>
      </c>
      <c r="V88" t="str">
        <f>IF(AND(I88="Pending",Q88&gt;20000),"Follow Up","OK")</f>
        <v>OK</v>
      </c>
      <c r="W88" t="str">
        <f>_xlfn.XLOOKUP(C88,Customers!$A$2:$A$41,Customers!$D$2:$D$41)</f>
        <v>Home Office</v>
      </c>
    </row>
    <row r="89" spans="1:23" x14ac:dyDescent="0.3">
      <c r="A89" s="9" t="s">
        <v>302</v>
      </c>
      <c r="B89" s="10">
        <v>45419</v>
      </c>
      <c r="C89" s="9" t="s">
        <v>128</v>
      </c>
      <c r="D89" s="9" t="s">
        <v>170</v>
      </c>
      <c r="E89" s="9" t="s">
        <v>186</v>
      </c>
      <c r="F89" s="9" t="s">
        <v>135</v>
      </c>
      <c r="G89" s="9">
        <v>2</v>
      </c>
      <c r="H89" s="11">
        <v>0</v>
      </c>
      <c r="I89" s="9" t="s">
        <v>165</v>
      </c>
      <c r="J89" t="str">
        <f>PROPER(TRIM(F89))</f>
        <v>Manoj Das</v>
      </c>
      <c r="K89" t="str">
        <f>PROPER(TRIM(E89))</f>
        <v>North</v>
      </c>
      <c r="L89" t="str">
        <f>TRIM(D89)</f>
        <v>P101</v>
      </c>
      <c r="M89" t="str">
        <f>IFERROR(VLOOKUP(L89,Products!$A$2:$D$21,2,FALSE),"Unknown Product")</f>
        <v>Laptop</v>
      </c>
      <c r="N89" t="str">
        <f>IFERROR(VLOOKUP(L89,Products!$A$2:$D$21,3,0),"Unknown ")</f>
        <v>Electronics</v>
      </c>
      <c r="O89">
        <f>IFERROR(VLOOKUP(L89,Products!$A$2:$D$21,4,0),0)</f>
        <v>55000</v>
      </c>
      <c r="P89" t="str">
        <f>IFERROR(INDEX(Customers!$C$2:$C$41,MATCH(C89,Customers!$A$2:$A$41,0)),"Unknown City")</f>
        <v>Delhi</v>
      </c>
      <c r="Q89" s="22">
        <f>G89*O89*(1-H89)</f>
        <v>110000</v>
      </c>
      <c r="R89" t="str">
        <f t="shared" si="1"/>
        <v>May-2024</v>
      </c>
      <c r="S89" t="str">
        <f>IF(Q89&gt;=50000,"Large",IF(Q89&gt;=20000,"Medium","Small"))</f>
        <v>Large</v>
      </c>
      <c r="T89">
        <f>VLOOKUP(Q89,Commission!$A$2:$B$6,2,TRUE)</f>
        <v>0.06</v>
      </c>
      <c r="U89">
        <f>Q89*T89</f>
        <v>6600</v>
      </c>
      <c r="V89" t="str">
        <f>IF(AND(I89="Pending",Q89&gt;20000),"Follow Up","OK")</f>
        <v>Follow Up</v>
      </c>
      <c r="W89" t="str">
        <f>_xlfn.XLOOKUP(C89,Customers!$A$2:$A$41,Customers!$D$2:$D$41)</f>
        <v>Consumer</v>
      </c>
    </row>
    <row r="90" spans="1:23" x14ac:dyDescent="0.3">
      <c r="A90" s="9" t="s">
        <v>367</v>
      </c>
      <c r="B90" s="10">
        <v>45550</v>
      </c>
      <c r="C90" s="9" t="s">
        <v>128</v>
      </c>
      <c r="D90" s="9" t="s">
        <v>275</v>
      </c>
      <c r="E90" s="9" t="s">
        <v>186</v>
      </c>
      <c r="F90" s="9" t="s">
        <v>154</v>
      </c>
      <c r="G90" s="9">
        <v>2</v>
      </c>
      <c r="H90" s="11">
        <v>0.15</v>
      </c>
      <c r="I90" s="9" t="s">
        <v>126</v>
      </c>
      <c r="J90" t="str">
        <f>PROPER(TRIM(F90))</f>
        <v>Kiran Shah</v>
      </c>
      <c r="K90" t="str">
        <f>PROPER(TRIM(E90))</f>
        <v>North</v>
      </c>
      <c r="L90" t="str">
        <f>TRIM(D90)</f>
        <v>P102</v>
      </c>
      <c r="M90" t="str">
        <f>IFERROR(VLOOKUP(L90,Products!$A$2:$D$21,2,FALSE),"Unknown Product")</f>
        <v>Smartphone</v>
      </c>
      <c r="N90" t="str">
        <f>IFERROR(VLOOKUP(L90,Products!$A$2:$D$21,3,0),"Unknown ")</f>
        <v>Electronics</v>
      </c>
      <c r="O90">
        <f>IFERROR(VLOOKUP(L90,Products!$A$2:$D$21,4,0),0)</f>
        <v>28000</v>
      </c>
      <c r="P90" t="str">
        <f>IFERROR(INDEX(Customers!$C$2:$C$41,MATCH(C90,Customers!$A$2:$A$41,0)),"Unknown City")</f>
        <v>Delhi</v>
      </c>
      <c r="Q90" s="22">
        <f>G90*O90*(1-H90)</f>
        <v>47600</v>
      </c>
      <c r="R90" t="str">
        <f t="shared" si="1"/>
        <v>Sep-2024</v>
      </c>
      <c r="S90" t="str">
        <f>IF(Q90&gt;=50000,"Large",IF(Q90&gt;=20000,"Medium","Small"))</f>
        <v>Medium</v>
      </c>
      <c r="T90">
        <f>VLOOKUP(Q90,Commission!$A$2:$B$6,2,TRUE)</f>
        <v>0.04</v>
      </c>
      <c r="U90">
        <f>Q90*T90</f>
        <v>1904</v>
      </c>
      <c r="V90" t="str">
        <f>IF(AND(I90="Pending",Q90&gt;20000),"Follow Up","OK")</f>
        <v>OK</v>
      </c>
      <c r="W90" t="str">
        <f>_xlfn.XLOOKUP(C90,Customers!$A$2:$A$41,Customers!$D$2:$D$41)</f>
        <v>Consumer</v>
      </c>
    </row>
    <row r="91" spans="1:23" x14ac:dyDescent="0.3">
      <c r="A91" s="9" t="s">
        <v>402</v>
      </c>
      <c r="B91" s="10">
        <v>45418</v>
      </c>
      <c r="C91" s="9" t="s">
        <v>137</v>
      </c>
      <c r="D91" s="9" t="s">
        <v>275</v>
      </c>
      <c r="E91" s="9" t="s">
        <v>186</v>
      </c>
      <c r="F91" s="9" t="s">
        <v>160</v>
      </c>
      <c r="G91" s="9">
        <v>2</v>
      </c>
      <c r="H91" s="11">
        <v>0.05</v>
      </c>
      <c r="I91" s="9" t="s">
        <v>145</v>
      </c>
      <c r="J91" t="str">
        <f>PROPER(TRIM(F91))</f>
        <v>Latha Menon</v>
      </c>
      <c r="K91" t="str">
        <f>PROPER(TRIM(E91))</f>
        <v>North</v>
      </c>
      <c r="L91" t="str">
        <f>TRIM(D91)</f>
        <v>P102</v>
      </c>
      <c r="M91" t="str">
        <f>IFERROR(VLOOKUP(L91,Products!$A$2:$D$21,2,FALSE),"Unknown Product")</f>
        <v>Smartphone</v>
      </c>
      <c r="N91" t="str">
        <f>IFERROR(VLOOKUP(L91,Products!$A$2:$D$21,3,0),"Unknown ")</f>
        <v>Electronics</v>
      </c>
      <c r="O91">
        <f>IFERROR(VLOOKUP(L91,Products!$A$2:$D$21,4,0),0)</f>
        <v>28000</v>
      </c>
      <c r="P91" t="str">
        <f>IFERROR(INDEX(Customers!$C$2:$C$41,MATCH(C91,Customers!$A$2:$A$41,0)),"Unknown City")</f>
        <v>Bengaluru</v>
      </c>
      <c r="Q91" s="22">
        <f>G91*O91*(1-H91)</f>
        <v>53200</v>
      </c>
      <c r="R91" t="str">
        <f t="shared" si="1"/>
        <v>May-2024</v>
      </c>
      <c r="S91" t="str">
        <f>IF(Q91&gt;=50000,"Large",IF(Q91&gt;=20000,"Medium","Small"))</f>
        <v>Large</v>
      </c>
      <c r="T91">
        <f>VLOOKUP(Q91,Commission!$A$2:$B$6,2,TRUE)</f>
        <v>0.05</v>
      </c>
      <c r="U91">
        <f>Q91*T91</f>
        <v>2660</v>
      </c>
      <c r="V91" t="str">
        <f>IF(AND(I91="Pending",Q91&gt;20000),"Follow Up","OK")</f>
        <v>OK</v>
      </c>
      <c r="W91" t="str">
        <f>_xlfn.XLOOKUP(C91,Customers!$A$2:$A$41,Customers!$D$2:$D$41)</f>
        <v>Home Office</v>
      </c>
    </row>
    <row r="92" spans="1:23" x14ac:dyDescent="0.3">
      <c r="A92" s="9" t="s">
        <v>315</v>
      </c>
      <c r="B92" s="10">
        <v>45650</v>
      </c>
      <c r="C92" s="9" t="s">
        <v>128</v>
      </c>
      <c r="D92" s="9" t="s">
        <v>227</v>
      </c>
      <c r="E92" s="9" t="s">
        <v>186</v>
      </c>
      <c r="F92" s="9" t="s">
        <v>140</v>
      </c>
      <c r="G92" s="9">
        <v>2</v>
      </c>
      <c r="H92" s="11">
        <v>0</v>
      </c>
      <c r="I92" s="9" t="s">
        <v>126</v>
      </c>
      <c r="J92" t="str">
        <f>PROPER(TRIM(F92))</f>
        <v>Pooja Nair</v>
      </c>
      <c r="K92" t="str">
        <f>PROPER(TRIM(E92))</f>
        <v>North</v>
      </c>
      <c r="L92" t="str">
        <f>TRIM(D92)</f>
        <v>P105</v>
      </c>
      <c r="M92" t="str">
        <f>IFERROR(VLOOKUP(L92,Products!$A$2:$D$21,2,FALSE),"Unknown Product")</f>
        <v>Smartwatch</v>
      </c>
      <c r="N92" t="str">
        <f>IFERROR(VLOOKUP(L92,Products!$A$2:$D$21,3,0),"Unknown ")</f>
        <v>Electronics</v>
      </c>
      <c r="O92">
        <f>IFERROR(VLOOKUP(L92,Products!$A$2:$D$21,4,0),0)</f>
        <v>9500</v>
      </c>
      <c r="P92" t="str">
        <f>IFERROR(INDEX(Customers!$C$2:$C$41,MATCH(C92,Customers!$A$2:$A$41,0)),"Unknown City")</f>
        <v>Delhi</v>
      </c>
      <c r="Q92" s="22">
        <f>G92*O92*(1-H92)</f>
        <v>19000</v>
      </c>
      <c r="R92" t="str">
        <f t="shared" si="1"/>
        <v>Dec-2024</v>
      </c>
      <c r="S92" t="str">
        <f>IF(Q92&gt;=50000,"Large",IF(Q92&gt;=20000,"Medium","Small"))</f>
        <v>Small</v>
      </c>
      <c r="T92">
        <f>VLOOKUP(Q92,Commission!$A$2:$B$6,2,TRUE)</f>
        <v>0.03</v>
      </c>
      <c r="U92">
        <f>Q92*T92</f>
        <v>570</v>
      </c>
      <c r="V92" t="str">
        <f>IF(AND(I92="Pending",Q92&gt;20000),"Follow Up","OK")</f>
        <v>OK</v>
      </c>
      <c r="W92" t="str">
        <f>_xlfn.XLOOKUP(C92,Customers!$A$2:$A$41,Customers!$D$2:$D$41)</f>
        <v>Consumer</v>
      </c>
    </row>
    <row r="93" spans="1:23" x14ac:dyDescent="0.3">
      <c r="A93" s="9" t="s">
        <v>424</v>
      </c>
      <c r="B93" s="10">
        <v>45342</v>
      </c>
      <c r="C93" s="9" t="s">
        <v>286</v>
      </c>
      <c r="D93" s="9" t="s">
        <v>143</v>
      </c>
      <c r="E93" s="9" t="s">
        <v>186</v>
      </c>
      <c r="F93" s="9" t="s">
        <v>140</v>
      </c>
      <c r="G93" s="9">
        <v>2</v>
      </c>
      <c r="H93" s="11">
        <v>0.1</v>
      </c>
      <c r="I93" s="9" t="s">
        <v>126</v>
      </c>
      <c r="J93" t="str">
        <f>PROPER(TRIM(F93))</f>
        <v>Pooja Nair</v>
      </c>
      <c r="K93" t="str">
        <f>PROPER(TRIM(E93))</f>
        <v>North</v>
      </c>
      <c r="L93" t="str">
        <f>TRIM(D93)</f>
        <v>P116</v>
      </c>
      <c r="M93" t="str">
        <f>IFERROR(VLOOKUP(L93,Products!$A$2:$D$21,2,FALSE),"Unknown Product")</f>
        <v>Sneakers</v>
      </c>
      <c r="N93" t="str">
        <f>IFERROR(VLOOKUP(L93,Products!$A$2:$D$21,3,0),"Unknown ")</f>
        <v>Clothing</v>
      </c>
      <c r="O93">
        <f>IFERROR(VLOOKUP(L93,Products!$A$2:$D$21,4,0),0)</f>
        <v>4500</v>
      </c>
      <c r="P93" t="str">
        <f>IFERROR(INDEX(Customers!$C$2:$C$41,MATCH(C93,Customers!$A$2:$A$41,0)),"Unknown City")</f>
        <v>Hyderabad</v>
      </c>
      <c r="Q93" s="22">
        <f>G93*O93*(1-H93)</f>
        <v>8100</v>
      </c>
      <c r="R93" t="str">
        <f t="shared" si="1"/>
        <v>Feb-2024</v>
      </c>
      <c r="S93" t="str">
        <f>IF(Q93&gt;=50000,"Large",IF(Q93&gt;=20000,"Medium","Small"))</f>
        <v>Small</v>
      </c>
      <c r="T93">
        <f>VLOOKUP(Q93,Commission!$A$2:$B$6,2,TRUE)</f>
        <v>0.02</v>
      </c>
      <c r="U93">
        <f>Q93*T93</f>
        <v>162</v>
      </c>
      <c r="V93" t="str">
        <f>IF(AND(I93="Pending",Q93&gt;20000),"Follow Up","OK")</f>
        <v>OK</v>
      </c>
      <c r="W93" t="str">
        <f>_xlfn.XLOOKUP(C93,Customers!$A$2:$A$41,Customers!$D$2:$D$41)</f>
        <v>Corporate</v>
      </c>
    </row>
    <row r="94" spans="1:23" x14ac:dyDescent="0.3">
      <c r="A94" s="9" t="s">
        <v>326</v>
      </c>
      <c r="B94" s="10">
        <v>45478</v>
      </c>
      <c r="C94" s="9" t="s">
        <v>137</v>
      </c>
      <c r="D94" s="9" t="s">
        <v>129</v>
      </c>
      <c r="E94" s="9" t="s">
        <v>186</v>
      </c>
      <c r="F94" s="9" t="s">
        <v>157</v>
      </c>
      <c r="G94" s="9">
        <v>2</v>
      </c>
      <c r="H94" s="11">
        <v>0</v>
      </c>
      <c r="I94" s="9" t="s">
        <v>126</v>
      </c>
      <c r="J94" t="str">
        <f>PROPER(TRIM(F94))</f>
        <v>Faisal Khan</v>
      </c>
      <c r="K94" t="str">
        <f>PROPER(TRIM(E94))</f>
        <v>North</v>
      </c>
      <c r="L94" t="str">
        <f>TRIM(D94)</f>
        <v>P118</v>
      </c>
      <c r="M94" t="str">
        <f>IFERROR(VLOOKUP(L94,Products!$A$2:$D$21,2,FALSE),"Unknown Product")</f>
        <v>Jeans</v>
      </c>
      <c r="N94" t="str">
        <f>IFERROR(VLOOKUP(L94,Products!$A$2:$D$21,3,0),"Unknown ")</f>
        <v>Clothing</v>
      </c>
      <c r="O94">
        <f>IFERROR(VLOOKUP(L94,Products!$A$2:$D$21,4,0),0)</f>
        <v>2800</v>
      </c>
      <c r="P94" t="str">
        <f>IFERROR(INDEX(Customers!$C$2:$C$41,MATCH(C94,Customers!$A$2:$A$41,0)),"Unknown City")</f>
        <v>Bengaluru</v>
      </c>
      <c r="Q94" s="22">
        <f>G94*O94*(1-H94)</f>
        <v>5600</v>
      </c>
      <c r="R94" t="str">
        <f t="shared" si="1"/>
        <v>Jul-2024</v>
      </c>
      <c r="S94" t="str">
        <f>IF(Q94&gt;=50000,"Large",IF(Q94&gt;=20000,"Medium","Small"))</f>
        <v>Small</v>
      </c>
      <c r="T94">
        <f>VLOOKUP(Q94,Commission!$A$2:$B$6,2,TRUE)</f>
        <v>0.02</v>
      </c>
      <c r="U94">
        <f>Q94*T94</f>
        <v>112</v>
      </c>
      <c r="V94" t="str">
        <f>IF(AND(I94="Pending",Q94&gt;20000),"Follow Up","OK")</f>
        <v>OK</v>
      </c>
      <c r="W94" t="str">
        <f>_xlfn.XLOOKUP(C94,Customers!$A$2:$A$41,Customers!$D$2:$D$41)</f>
        <v>Home Office</v>
      </c>
    </row>
    <row r="95" spans="1:23" x14ac:dyDescent="0.3">
      <c r="A95" s="9" t="s">
        <v>384</v>
      </c>
      <c r="B95" s="10">
        <v>45371</v>
      </c>
      <c r="C95" s="9" t="s">
        <v>215</v>
      </c>
      <c r="D95" s="9" t="s">
        <v>163</v>
      </c>
      <c r="E95" s="9" t="s">
        <v>186</v>
      </c>
      <c r="F95" s="9" t="s">
        <v>131</v>
      </c>
      <c r="G95" s="9">
        <v>2</v>
      </c>
      <c r="H95" s="11">
        <v>0.1</v>
      </c>
      <c r="I95" s="9" t="s">
        <v>126</v>
      </c>
      <c r="J95" t="str">
        <f>PROPER(TRIM(F95))</f>
        <v>Reena Joshi</v>
      </c>
      <c r="K95" t="str">
        <f>PROPER(TRIM(E95))</f>
        <v>North</v>
      </c>
      <c r="L95" t="str">
        <f>TRIM(D95)</f>
        <v>P117</v>
      </c>
      <c r="M95" t="str">
        <f>IFERROR(VLOOKUP(L95,Products!$A$2:$D$21,2,FALSE),"Unknown Product")</f>
        <v>T-Shirt Pack</v>
      </c>
      <c r="N95" t="str">
        <f>IFERROR(VLOOKUP(L95,Products!$A$2:$D$21,3,0),"Unknown ")</f>
        <v>Clothing</v>
      </c>
      <c r="O95">
        <f>IFERROR(VLOOKUP(L95,Products!$A$2:$D$21,4,0),0)</f>
        <v>1500</v>
      </c>
      <c r="P95" t="str">
        <f>IFERROR(INDEX(Customers!$C$2:$C$41,MATCH(C95,Customers!$A$2:$A$41,0)),"Unknown City")</f>
        <v>Pune</v>
      </c>
      <c r="Q95" s="22">
        <f>G95*O95*(1-H95)</f>
        <v>2700</v>
      </c>
      <c r="R95" t="str">
        <f t="shared" si="1"/>
        <v>Mar-2024</v>
      </c>
      <c r="S95" t="str">
        <f>IF(Q95&gt;=50000,"Large",IF(Q95&gt;=20000,"Medium","Small"))</f>
        <v>Small</v>
      </c>
      <c r="T95">
        <f>VLOOKUP(Q95,Commission!$A$2:$B$6,2,TRUE)</f>
        <v>0.02</v>
      </c>
      <c r="U95">
        <f>Q95*T95</f>
        <v>54</v>
      </c>
      <c r="V95" t="str">
        <f>IF(AND(I95="Pending",Q95&gt;20000),"Follow Up","OK")</f>
        <v>OK</v>
      </c>
      <c r="W95" t="str">
        <f>_xlfn.XLOOKUP(C95,Customers!$A$2:$A$41,Customers!$D$2:$D$41)</f>
        <v>Consumer</v>
      </c>
    </row>
    <row r="96" spans="1:23" x14ac:dyDescent="0.3">
      <c r="A96" s="9" t="s">
        <v>288</v>
      </c>
      <c r="B96" s="10">
        <v>45314</v>
      </c>
      <c r="C96" s="9" t="s">
        <v>178</v>
      </c>
      <c r="D96" s="9" t="s">
        <v>159</v>
      </c>
      <c r="E96" s="9" t="s">
        <v>186</v>
      </c>
      <c r="F96" s="9" t="s">
        <v>157</v>
      </c>
      <c r="G96" s="9">
        <v>2</v>
      </c>
      <c r="H96" s="11">
        <v>0.15</v>
      </c>
      <c r="I96" s="9" t="s">
        <v>145</v>
      </c>
      <c r="J96" t="str">
        <f>PROPER(TRIM(F96))</f>
        <v>Faisal Khan</v>
      </c>
      <c r="K96" t="str">
        <f>PROPER(TRIM(E96))</f>
        <v>North</v>
      </c>
      <c r="L96" t="str">
        <f>TRIM(D96)</f>
        <v>P111</v>
      </c>
      <c r="M96" t="str">
        <f>IFERROR(VLOOKUP(L96,Products!$A$2:$D$21,2,FALSE),"Unknown Product")</f>
        <v>Green Tea</v>
      </c>
      <c r="N96" t="str">
        <f>IFERROR(VLOOKUP(L96,Products!$A$2:$D$21,3,0),"Unknown ")</f>
        <v>Grocery</v>
      </c>
      <c r="O96">
        <f>IFERROR(VLOOKUP(L96,Products!$A$2:$D$21,4,0),0)</f>
        <v>420</v>
      </c>
      <c r="P96" t="str">
        <f>IFERROR(INDEX(Customers!$C$2:$C$41,MATCH(C96,Customers!$A$2:$A$41,0)),"Unknown City")</f>
        <v>Kolkata</v>
      </c>
      <c r="Q96" s="22">
        <f>G96*O96*(1-H96)</f>
        <v>714</v>
      </c>
      <c r="R96" t="str">
        <f t="shared" si="1"/>
        <v>Jan-2024</v>
      </c>
      <c r="S96" t="str">
        <f>IF(Q96&gt;=50000,"Large",IF(Q96&gt;=20000,"Medium","Small"))</f>
        <v>Small</v>
      </c>
      <c r="T96">
        <f>VLOOKUP(Q96,Commission!$A$2:$B$6,2,TRUE)</f>
        <v>0.02</v>
      </c>
      <c r="U96">
        <f>Q96*T96</f>
        <v>14.280000000000001</v>
      </c>
      <c r="V96" t="str">
        <f>IF(AND(I96="Pending",Q96&gt;20000),"Follow Up","OK")</f>
        <v>OK</v>
      </c>
      <c r="W96" t="str">
        <f>_xlfn.XLOOKUP(C96,Customers!$A$2:$A$41,Customers!$D$2:$D$41)</f>
        <v>Corporate</v>
      </c>
    </row>
    <row r="97" spans="1:23" x14ac:dyDescent="0.3">
      <c r="A97" s="9" t="s">
        <v>406</v>
      </c>
      <c r="B97" s="10">
        <v>45307</v>
      </c>
      <c r="C97" s="9" t="s">
        <v>156</v>
      </c>
      <c r="D97" s="9" t="s">
        <v>227</v>
      </c>
      <c r="E97" s="9" t="s">
        <v>186</v>
      </c>
      <c r="F97" s="9" t="s">
        <v>206</v>
      </c>
      <c r="G97" s="9">
        <v>1</v>
      </c>
      <c r="H97" s="11">
        <v>0</v>
      </c>
      <c r="I97" s="9" t="s">
        <v>145</v>
      </c>
      <c r="J97" t="str">
        <f>PROPER(TRIM(F97))</f>
        <v>Sunita Rao</v>
      </c>
      <c r="K97" t="str">
        <f>PROPER(TRIM(E97))</f>
        <v>North</v>
      </c>
      <c r="L97" t="str">
        <f>TRIM(D97)</f>
        <v>P105</v>
      </c>
      <c r="M97" t="str">
        <f>IFERROR(VLOOKUP(L97,Products!$A$2:$D$21,2,FALSE),"Unknown Product")</f>
        <v>Smartwatch</v>
      </c>
      <c r="N97" t="str">
        <f>IFERROR(VLOOKUP(L97,Products!$A$2:$D$21,3,0),"Unknown ")</f>
        <v>Electronics</v>
      </c>
      <c r="O97">
        <f>IFERROR(VLOOKUP(L97,Products!$A$2:$D$21,4,0),0)</f>
        <v>9500</v>
      </c>
      <c r="P97" t="str">
        <f>IFERROR(INDEX(Customers!$C$2:$C$41,MATCH(C97,Customers!$A$2:$A$41,0)),"Unknown City")</f>
        <v>Hyderabad</v>
      </c>
      <c r="Q97" s="22">
        <f>G97*O97*(1-H97)</f>
        <v>9500</v>
      </c>
      <c r="R97" t="str">
        <f t="shared" si="1"/>
        <v>Jan-2024</v>
      </c>
      <c r="S97" t="str">
        <f>IF(Q97&gt;=50000,"Large",IF(Q97&gt;=20000,"Medium","Small"))</f>
        <v>Small</v>
      </c>
      <c r="T97">
        <f>VLOOKUP(Q97,Commission!$A$2:$B$6,2,TRUE)</f>
        <v>0.02</v>
      </c>
      <c r="U97">
        <f>Q97*T97</f>
        <v>190</v>
      </c>
      <c r="V97" t="str">
        <f>IF(AND(I97="Pending",Q97&gt;20000),"Follow Up","OK")</f>
        <v>OK</v>
      </c>
      <c r="W97" t="str">
        <f>_xlfn.XLOOKUP(C97,Customers!$A$2:$A$41,Customers!$D$2:$D$41)</f>
        <v>Consumer</v>
      </c>
    </row>
    <row r="98" spans="1:23" x14ac:dyDescent="0.3">
      <c r="A98" s="9" t="s">
        <v>382</v>
      </c>
      <c r="B98" s="10">
        <v>45458</v>
      </c>
      <c r="C98" s="9" t="s">
        <v>320</v>
      </c>
      <c r="D98" s="9" t="s">
        <v>138</v>
      </c>
      <c r="E98" s="9" t="s">
        <v>186</v>
      </c>
      <c r="F98" s="9" t="s">
        <v>140</v>
      </c>
      <c r="G98" s="9">
        <v>1</v>
      </c>
      <c r="H98" s="11">
        <v>0.15</v>
      </c>
      <c r="I98" s="9" t="s">
        <v>126</v>
      </c>
      <c r="J98" t="str">
        <f>PROPER(TRIM(F98))</f>
        <v>Pooja Nair</v>
      </c>
      <c r="K98" t="str">
        <f>PROPER(TRIM(E98))</f>
        <v>North</v>
      </c>
      <c r="L98" t="str">
        <f>TRIM(D98)</f>
        <v>P113</v>
      </c>
      <c r="M98" t="str">
        <f>IFERROR(VLOOKUP(L98,Products!$A$2:$D$21,2,FALSE),"Unknown Product")</f>
        <v>Protein Bar Box</v>
      </c>
      <c r="N98" t="str">
        <f>IFERROR(VLOOKUP(L98,Products!$A$2:$D$21,3,0),"Unknown ")</f>
        <v>Grocery</v>
      </c>
      <c r="O98">
        <f>IFERROR(VLOOKUP(L98,Products!$A$2:$D$21,4,0),0)</f>
        <v>1200</v>
      </c>
      <c r="P98" t="str">
        <f>IFERROR(INDEX(Customers!$C$2:$C$41,MATCH(C98,Customers!$A$2:$A$41,0)),"Unknown City")</f>
        <v>Delhi</v>
      </c>
      <c r="Q98" s="22">
        <f>G98*O98*(1-H98)</f>
        <v>1020</v>
      </c>
      <c r="R98" t="str">
        <f t="shared" si="1"/>
        <v>Jun-2024</v>
      </c>
      <c r="S98" t="str">
        <f>IF(Q98&gt;=50000,"Large",IF(Q98&gt;=20000,"Medium","Small"))</f>
        <v>Small</v>
      </c>
      <c r="T98">
        <f>VLOOKUP(Q98,Commission!$A$2:$B$6,2,TRUE)</f>
        <v>0.02</v>
      </c>
      <c r="U98">
        <f>Q98*T98</f>
        <v>20.400000000000002</v>
      </c>
      <c r="V98" t="str">
        <f>IF(AND(I98="Pending",Q98&gt;20000),"Follow Up","OK")</f>
        <v>OK</v>
      </c>
      <c r="W98" t="str">
        <f>_xlfn.XLOOKUP(C98,Customers!$A$2:$A$41,Customers!$D$2:$D$41)</f>
        <v>Home Office</v>
      </c>
    </row>
    <row r="99" spans="1:23" x14ac:dyDescent="0.3">
      <c r="A99" s="9" t="s">
        <v>149</v>
      </c>
      <c r="B99" s="10">
        <v>45386</v>
      </c>
      <c r="C99" s="9" t="s">
        <v>150</v>
      </c>
      <c r="D99" s="9" t="s">
        <v>151</v>
      </c>
      <c r="E99" s="9" t="s">
        <v>152</v>
      </c>
      <c r="F99" s="9" t="s">
        <v>140</v>
      </c>
      <c r="G99" s="9">
        <v>1</v>
      </c>
      <c r="H99" s="11">
        <v>0.05</v>
      </c>
      <c r="I99" s="9" t="s">
        <v>145</v>
      </c>
      <c r="J99" t="str">
        <f>PROPER(TRIM(F99))</f>
        <v>Pooja Nair</v>
      </c>
      <c r="K99" t="str">
        <f>PROPER(TRIM(E99))</f>
        <v>North</v>
      </c>
      <c r="L99" t="str">
        <f>TRIM(D99)</f>
        <v>P110</v>
      </c>
      <c r="M99" t="str">
        <f>IFERROR(VLOOKUP(L99,Products!$A$2:$D$21,2,FALSE),"Unknown Product")</f>
        <v>Coffee Beans</v>
      </c>
      <c r="N99" t="str">
        <f>IFERROR(VLOOKUP(L99,Products!$A$2:$D$21,3,0),"Unknown ")</f>
        <v>Grocery</v>
      </c>
      <c r="O99">
        <f>IFERROR(VLOOKUP(L99,Products!$A$2:$D$21,4,0),0)</f>
        <v>650</v>
      </c>
      <c r="P99" t="str">
        <f>IFERROR(INDEX(Customers!$C$2:$C$41,MATCH(C99,Customers!$A$2:$A$41,0)),"Unknown City")</f>
        <v>Kolkata</v>
      </c>
      <c r="Q99" s="22">
        <f>G99*O99*(1-H99)</f>
        <v>617.5</v>
      </c>
      <c r="R99" t="str">
        <f t="shared" si="1"/>
        <v>Apr-2024</v>
      </c>
      <c r="S99" t="str">
        <f>IF(Q99&gt;=50000,"Large",IF(Q99&gt;=20000,"Medium","Small"))</f>
        <v>Small</v>
      </c>
      <c r="T99">
        <f>VLOOKUP(Q99,Commission!$A$2:$B$6,2,TRUE)</f>
        <v>0.02</v>
      </c>
      <c r="U99">
        <f>Q99*T99</f>
        <v>12.35</v>
      </c>
      <c r="V99" t="str">
        <f>IF(AND(I99="Pending",Q99&gt;20000),"Follow Up","OK")</f>
        <v>OK</v>
      </c>
      <c r="W99" t="str">
        <f>_xlfn.XLOOKUP(C99,Customers!$A$2:$A$41,Customers!$D$2:$D$41)</f>
        <v>Corporate</v>
      </c>
    </row>
    <row r="100" spans="1:23" x14ac:dyDescent="0.3">
      <c r="A100" s="9" t="s">
        <v>177</v>
      </c>
      <c r="B100" s="10">
        <v>45549</v>
      </c>
      <c r="C100" s="9" t="s">
        <v>178</v>
      </c>
      <c r="D100" s="9" t="s">
        <v>151</v>
      </c>
      <c r="E100" s="9" t="s">
        <v>179</v>
      </c>
      <c r="F100" s="9" t="s">
        <v>157</v>
      </c>
      <c r="G100" s="9">
        <v>1</v>
      </c>
      <c r="H100" s="11">
        <v>0.05</v>
      </c>
      <c r="I100" s="9" t="s">
        <v>145</v>
      </c>
      <c r="J100" t="str">
        <f>PROPER(TRIM(F100))</f>
        <v>Faisal Khan</v>
      </c>
      <c r="K100" t="str">
        <f>PROPER(TRIM(E100))</f>
        <v>North</v>
      </c>
      <c r="L100" t="str">
        <f>TRIM(D100)</f>
        <v>P110</v>
      </c>
      <c r="M100" t="str">
        <f>IFERROR(VLOOKUP(L100,Products!$A$2:$D$21,2,FALSE),"Unknown Product")</f>
        <v>Coffee Beans</v>
      </c>
      <c r="N100" t="str">
        <f>IFERROR(VLOOKUP(L100,Products!$A$2:$D$21,3,0),"Unknown ")</f>
        <v>Grocery</v>
      </c>
      <c r="O100">
        <f>IFERROR(VLOOKUP(L100,Products!$A$2:$D$21,4,0),0)</f>
        <v>650</v>
      </c>
      <c r="P100" t="str">
        <f>IFERROR(INDEX(Customers!$C$2:$C$41,MATCH(C100,Customers!$A$2:$A$41,0)),"Unknown City")</f>
        <v>Kolkata</v>
      </c>
      <c r="Q100" s="22">
        <f>G100*O100*(1-H100)</f>
        <v>617.5</v>
      </c>
      <c r="R100" t="str">
        <f t="shared" si="1"/>
        <v>Sep-2024</v>
      </c>
      <c r="S100" t="str">
        <f>IF(Q100&gt;=50000,"Large",IF(Q100&gt;=20000,"Medium","Small"))</f>
        <v>Small</v>
      </c>
      <c r="T100">
        <f>VLOOKUP(Q100,Commission!$A$2:$B$6,2,TRUE)</f>
        <v>0.02</v>
      </c>
      <c r="U100">
        <f>Q100*T100</f>
        <v>12.35</v>
      </c>
      <c r="V100" t="str">
        <f>IF(AND(I100="Pending",Q100&gt;20000),"Follow Up","OK")</f>
        <v>OK</v>
      </c>
      <c r="W100" t="str">
        <f>_xlfn.XLOOKUP(C100,Customers!$A$2:$A$41,Customers!$D$2:$D$41)</f>
        <v>Corporate</v>
      </c>
    </row>
    <row r="101" spans="1:23" x14ac:dyDescent="0.3">
      <c r="A101" s="9" t="s">
        <v>427</v>
      </c>
      <c r="B101" s="10">
        <v>45348</v>
      </c>
      <c r="C101" s="9" t="s">
        <v>320</v>
      </c>
      <c r="D101" s="9" t="s">
        <v>224</v>
      </c>
      <c r="E101" s="9" t="s">
        <v>186</v>
      </c>
      <c r="F101" s="9" t="s">
        <v>206</v>
      </c>
      <c r="G101" s="9">
        <v>1</v>
      </c>
      <c r="H101" s="11">
        <v>0.1</v>
      </c>
      <c r="I101" s="9" t="s">
        <v>126</v>
      </c>
      <c r="J101" t="str">
        <f>PROPER(TRIM(F101))</f>
        <v>Sunita Rao</v>
      </c>
      <c r="K101" t="str">
        <f>PROPER(TRIM(E101))</f>
        <v>North</v>
      </c>
      <c r="L101" t="str">
        <f>TRIM(D101)</f>
        <v>P120</v>
      </c>
      <c r="M101" t="str">
        <f>IFERROR(VLOOKUP(L101,Products!$A$2:$D$21,2,FALSE),"Unknown Product")</f>
        <v>Printer Paper</v>
      </c>
      <c r="N101" t="str">
        <f>IFERROR(VLOOKUP(L101,Products!$A$2:$D$21,3,0),"Unknown ")</f>
        <v>Stationery</v>
      </c>
      <c r="O101">
        <f>IFERROR(VLOOKUP(L101,Products!$A$2:$D$21,4,0),0)</f>
        <v>620</v>
      </c>
      <c r="P101" t="str">
        <f>IFERROR(INDEX(Customers!$C$2:$C$41,MATCH(C101,Customers!$A$2:$A$41,0)),"Unknown City")</f>
        <v>Delhi</v>
      </c>
      <c r="Q101" s="22">
        <f>G101*O101*(1-H101)</f>
        <v>558</v>
      </c>
      <c r="R101" t="str">
        <f t="shared" si="1"/>
        <v>Feb-2024</v>
      </c>
      <c r="S101" t="str">
        <f>IF(Q101&gt;=50000,"Large",IF(Q101&gt;=20000,"Medium","Small"))</f>
        <v>Small</v>
      </c>
      <c r="T101">
        <f>VLOOKUP(Q101,Commission!$A$2:$B$6,2,TRUE)</f>
        <v>0.02</v>
      </c>
      <c r="U101">
        <f>Q101*T101</f>
        <v>11.16</v>
      </c>
      <c r="V101" t="str">
        <f>IF(AND(I101="Pending",Q101&gt;20000),"Follow Up","OK")</f>
        <v>OK</v>
      </c>
      <c r="W101" t="str">
        <f>_xlfn.XLOOKUP(C101,Customers!$A$2:$A$41,Customers!$D$2:$D$41)</f>
        <v>Home Office</v>
      </c>
    </row>
    <row r="102" spans="1:23" x14ac:dyDescent="0.3">
      <c r="A102" s="9" t="s">
        <v>292</v>
      </c>
      <c r="B102" s="10">
        <v>45642</v>
      </c>
      <c r="C102" s="9" t="s">
        <v>181</v>
      </c>
      <c r="D102" s="9" t="s">
        <v>275</v>
      </c>
      <c r="E102" s="9" t="s">
        <v>130</v>
      </c>
      <c r="F102" s="9" t="s">
        <v>206</v>
      </c>
      <c r="G102" s="9">
        <v>10</v>
      </c>
      <c r="H102" s="11">
        <v>0</v>
      </c>
      <c r="I102" s="9" t="s">
        <v>126</v>
      </c>
      <c r="J102" t="str">
        <f>PROPER(TRIM(F102))</f>
        <v>Sunita Rao</v>
      </c>
      <c r="K102" t="str">
        <f>PROPER(TRIM(E102))</f>
        <v>South</v>
      </c>
      <c r="L102" t="str">
        <f>TRIM(D102)</f>
        <v>P102</v>
      </c>
      <c r="M102" t="str">
        <f>IFERROR(VLOOKUP(L102,Products!$A$2:$D$21,2,FALSE),"Unknown Product")</f>
        <v>Smartphone</v>
      </c>
      <c r="N102" t="str">
        <f>IFERROR(VLOOKUP(L102,Products!$A$2:$D$21,3,0),"Unknown ")</f>
        <v>Electronics</v>
      </c>
      <c r="O102">
        <f>IFERROR(VLOOKUP(L102,Products!$A$2:$D$21,4,0),0)</f>
        <v>28000</v>
      </c>
      <c r="P102" t="str">
        <f>IFERROR(INDEX(Customers!$C$2:$C$41,MATCH(C102,Customers!$A$2:$A$41,0)),"Unknown City")</f>
        <v>Pune</v>
      </c>
      <c r="Q102" s="22">
        <f>G102*O102*(1-H102)</f>
        <v>280000</v>
      </c>
      <c r="R102" t="str">
        <f t="shared" si="1"/>
        <v>Dec-2024</v>
      </c>
      <c r="S102" t="str">
        <f>IF(Q102&gt;=50000,"Large",IF(Q102&gt;=20000,"Medium","Small"))</f>
        <v>Large</v>
      </c>
      <c r="T102">
        <f>VLOOKUP(Q102,Commission!$A$2:$B$6,2,TRUE)</f>
        <v>0.06</v>
      </c>
      <c r="U102">
        <f>Q102*T102</f>
        <v>16800</v>
      </c>
      <c r="V102" t="str">
        <f>IF(AND(I102="Pending",Q102&gt;20000),"Follow Up","OK")</f>
        <v>OK</v>
      </c>
      <c r="W102" t="str">
        <f>_xlfn.XLOOKUP(C102,Customers!$A$2:$A$41,Customers!$D$2:$D$41)</f>
        <v>Consumer</v>
      </c>
    </row>
    <row r="103" spans="1:23" x14ac:dyDescent="0.3">
      <c r="A103" s="9" t="s">
        <v>141</v>
      </c>
      <c r="B103" s="10">
        <v>45543</v>
      </c>
      <c r="C103" s="9" t="s">
        <v>142</v>
      </c>
      <c r="D103" s="9" t="s">
        <v>143</v>
      </c>
      <c r="E103" s="9" t="s">
        <v>130</v>
      </c>
      <c r="F103" s="9" t="s">
        <v>144</v>
      </c>
      <c r="G103" s="9">
        <v>10</v>
      </c>
      <c r="H103" s="11">
        <v>0</v>
      </c>
      <c r="I103" s="9" t="s">
        <v>145</v>
      </c>
      <c r="J103" t="str">
        <f>PROPER(TRIM(F103))</f>
        <v>Reena Joshi</v>
      </c>
      <c r="K103" t="str">
        <f>PROPER(TRIM(E103))</f>
        <v>South</v>
      </c>
      <c r="L103" t="str">
        <f>TRIM(D103)</f>
        <v>P116</v>
      </c>
      <c r="M103" t="str">
        <f>IFERROR(VLOOKUP(L103,Products!$A$2:$D$21,2,FALSE),"Unknown Product")</f>
        <v>Sneakers</v>
      </c>
      <c r="N103" t="str">
        <f>IFERROR(VLOOKUP(L103,Products!$A$2:$D$21,3,0),"Unknown ")</f>
        <v>Clothing</v>
      </c>
      <c r="O103">
        <f>IFERROR(VLOOKUP(L103,Products!$A$2:$D$21,4,0),0)</f>
        <v>4500</v>
      </c>
      <c r="P103" t="str">
        <f>IFERROR(INDEX(Customers!$C$2:$C$41,MATCH(C103,Customers!$A$2:$A$41,0)),"Unknown City")</f>
        <v>Bengaluru</v>
      </c>
      <c r="Q103" s="22">
        <f>G103*O103*(1-H103)</f>
        <v>45000</v>
      </c>
      <c r="R103" t="str">
        <f t="shared" si="1"/>
        <v>Sep-2024</v>
      </c>
      <c r="S103" t="str">
        <f>IF(Q103&gt;=50000,"Large",IF(Q103&gt;=20000,"Medium","Small"))</f>
        <v>Medium</v>
      </c>
      <c r="T103">
        <f>VLOOKUP(Q103,Commission!$A$2:$B$6,2,TRUE)</f>
        <v>0.04</v>
      </c>
      <c r="U103">
        <f>Q103*T103</f>
        <v>1800</v>
      </c>
      <c r="V103" t="str">
        <f>IF(AND(I103="Pending",Q103&gt;20000),"Follow Up","OK")</f>
        <v>OK</v>
      </c>
      <c r="W103" t="str">
        <f>_xlfn.XLOOKUP(C103,Customers!$A$2:$A$41,Customers!$D$2:$D$41)</f>
        <v>Consumer</v>
      </c>
    </row>
    <row r="104" spans="1:23" x14ac:dyDescent="0.3">
      <c r="A104" s="9" t="s">
        <v>172</v>
      </c>
      <c r="B104" s="10">
        <v>45346</v>
      </c>
      <c r="C104" s="9" t="s">
        <v>173</v>
      </c>
      <c r="D104" s="9" t="s">
        <v>174</v>
      </c>
      <c r="E104" s="9" t="s">
        <v>130</v>
      </c>
      <c r="F104" s="9" t="s">
        <v>157</v>
      </c>
      <c r="G104" s="9">
        <v>10</v>
      </c>
      <c r="H104" s="11">
        <v>0</v>
      </c>
      <c r="I104" s="9" t="s">
        <v>145</v>
      </c>
      <c r="J104" t="str">
        <f>PROPER(TRIM(F104))</f>
        <v>Faisal Khan</v>
      </c>
      <c r="K104" t="str">
        <f>PROPER(TRIM(E104))</f>
        <v>South</v>
      </c>
      <c r="L104" t="str">
        <f>TRIM(D104)</f>
        <v>P112</v>
      </c>
      <c r="M104" t="str">
        <f>IFERROR(VLOOKUP(L104,Products!$A$2:$D$21,2,FALSE),"Unknown Product")</f>
        <v>Olive Oil</v>
      </c>
      <c r="N104" t="str">
        <f>IFERROR(VLOOKUP(L104,Products!$A$2:$D$21,3,0),"Unknown ")</f>
        <v>Grocery</v>
      </c>
      <c r="O104">
        <f>IFERROR(VLOOKUP(L104,Products!$A$2:$D$21,4,0),0)</f>
        <v>980</v>
      </c>
      <c r="P104" t="str">
        <f>IFERROR(INDEX(Customers!$C$2:$C$41,MATCH(C104,Customers!$A$2:$A$41,0)),"Unknown City")</f>
        <v>Chennai</v>
      </c>
      <c r="Q104" s="22">
        <f>G104*O104*(1-H104)</f>
        <v>9800</v>
      </c>
      <c r="R104" t="str">
        <f t="shared" si="1"/>
        <v>Feb-2024</v>
      </c>
      <c r="S104" t="str">
        <f>IF(Q104&gt;=50000,"Large",IF(Q104&gt;=20000,"Medium","Small"))</f>
        <v>Small</v>
      </c>
      <c r="T104">
        <f>VLOOKUP(Q104,Commission!$A$2:$B$6,2,TRUE)</f>
        <v>0.02</v>
      </c>
      <c r="U104">
        <f>Q104*T104</f>
        <v>196</v>
      </c>
      <c r="V104" t="str">
        <f>IF(AND(I104="Pending",Q104&gt;20000),"Follow Up","OK")</f>
        <v>OK</v>
      </c>
      <c r="W104" t="str">
        <f>_xlfn.XLOOKUP(C104,Customers!$A$2:$A$41,Customers!$D$2:$D$41)</f>
        <v>Consumer</v>
      </c>
    </row>
    <row r="105" spans="1:23" x14ac:dyDescent="0.3">
      <c r="A105" s="9" t="s">
        <v>299</v>
      </c>
      <c r="B105" s="10">
        <v>45343</v>
      </c>
      <c r="C105" s="9" t="s">
        <v>300</v>
      </c>
      <c r="D105" s="9" t="s">
        <v>189</v>
      </c>
      <c r="E105" s="9" t="s">
        <v>130</v>
      </c>
      <c r="F105" s="9" t="s">
        <v>131</v>
      </c>
      <c r="G105" s="9">
        <v>9</v>
      </c>
      <c r="H105" s="11">
        <v>0</v>
      </c>
      <c r="I105" s="9" t="s">
        <v>126</v>
      </c>
      <c r="J105" t="str">
        <f>PROPER(TRIM(F105))</f>
        <v>Reena Joshi</v>
      </c>
      <c r="K105" t="str">
        <f>PROPER(TRIM(E105))</f>
        <v>South</v>
      </c>
      <c r="L105" t="str">
        <f>TRIM(D105)</f>
        <v>P115</v>
      </c>
      <c r="M105" t="str">
        <f>IFERROR(VLOOKUP(L105,Products!$A$2:$D$21,2,FALSE),"Unknown Product")</f>
        <v>Jacket</v>
      </c>
      <c r="N105" t="str">
        <f>IFERROR(VLOOKUP(L105,Products!$A$2:$D$21,3,0),"Unknown ")</f>
        <v>Clothing</v>
      </c>
      <c r="O105">
        <f>IFERROR(VLOOKUP(L105,Products!$A$2:$D$21,4,0),0)</f>
        <v>3800</v>
      </c>
      <c r="P105" t="str">
        <f>IFERROR(INDEX(Customers!$C$2:$C$41,MATCH(C105,Customers!$A$2:$A$41,0)),"Unknown City")</f>
        <v>Chennai</v>
      </c>
      <c r="Q105" s="22">
        <f>G105*O105*(1-H105)</f>
        <v>34200</v>
      </c>
      <c r="R105" t="str">
        <f t="shared" si="1"/>
        <v>Feb-2024</v>
      </c>
      <c r="S105" t="str">
        <f>IF(Q105&gt;=50000,"Large",IF(Q105&gt;=20000,"Medium","Small"))</f>
        <v>Medium</v>
      </c>
      <c r="T105">
        <f>VLOOKUP(Q105,Commission!$A$2:$B$6,2,TRUE)</f>
        <v>0.04</v>
      </c>
      <c r="U105">
        <f>Q105*T105</f>
        <v>1368</v>
      </c>
      <c r="V105" t="str">
        <f>IF(AND(I105="Pending",Q105&gt;20000),"Follow Up","OK")</f>
        <v>OK</v>
      </c>
      <c r="W105" t="str">
        <f>_xlfn.XLOOKUP(C105,Customers!$A$2:$A$41,Customers!$D$2:$D$41)</f>
        <v>Corporate</v>
      </c>
    </row>
    <row r="106" spans="1:23" x14ac:dyDescent="0.3">
      <c r="A106" s="9" t="s">
        <v>371</v>
      </c>
      <c r="B106" s="10">
        <v>45556</v>
      </c>
      <c r="C106" s="9" t="s">
        <v>147</v>
      </c>
      <c r="D106" s="9" t="s">
        <v>163</v>
      </c>
      <c r="E106" s="9" t="s">
        <v>130</v>
      </c>
      <c r="F106" s="9" t="s">
        <v>154</v>
      </c>
      <c r="G106" s="9">
        <v>9</v>
      </c>
      <c r="H106" s="11">
        <v>0.1</v>
      </c>
      <c r="I106" s="9" t="s">
        <v>126</v>
      </c>
      <c r="J106" t="str">
        <f>PROPER(TRIM(F106))</f>
        <v>Kiran Shah</v>
      </c>
      <c r="K106" t="str">
        <f>PROPER(TRIM(E106))</f>
        <v>South</v>
      </c>
      <c r="L106" t="str">
        <f>TRIM(D106)</f>
        <v>P117</v>
      </c>
      <c r="M106" t="str">
        <f>IFERROR(VLOOKUP(L106,Products!$A$2:$D$21,2,FALSE),"Unknown Product")</f>
        <v>T-Shirt Pack</v>
      </c>
      <c r="N106" t="str">
        <f>IFERROR(VLOOKUP(L106,Products!$A$2:$D$21,3,0),"Unknown ")</f>
        <v>Clothing</v>
      </c>
      <c r="O106">
        <f>IFERROR(VLOOKUP(L106,Products!$A$2:$D$21,4,0),0)</f>
        <v>1500</v>
      </c>
      <c r="P106" t="str">
        <f>IFERROR(INDEX(Customers!$C$2:$C$41,MATCH(C106,Customers!$A$2:$A$41,0)),"Unknown City")</f>
        <v>Hyderabad</v>
      </c>
      <c r="Q106" s="22">
        <f>G106*O106*(1-H106)</f>
        <v>12150</v>
      </c>
      <c r="R106" t="str">
        <f t="shared" si="1"/>
        <v>Sep-2024</v>
      </c>
      <c r="S106" t="str">
        <f>IF(Q106&gt;=50000,"Large",IF(Q106&gt;=20000,"Medium","Small"))</f>
        <v>Small</v>
      </c>
      <c r="T106">
        <f>VLOOKUP(Q106,Commission!$A$2:$B$6,2,TRUE)</f>
        <v>0.03</v>
      </c>
      <c r="U106">
        <f>Q106*T106</f>
        <v>364.5</v>
      </c>
      <c r="V106" t="str">
        <f>IF(AND(I106="Pending",Q106&gt;20000),"Follow Up","OK")</f>
        <v>OK</v>
      </c>
      <c r="W106" t="str">
        <f>_xlfn.XLOOKUP(C106,Customers!$A$2:$A$41,Customers!$D$2:$D$41)</f>
        <v>Corporate</v>
      </c>
    </row>
    <row r="107" spans="1:23" x14ac:dyDescent="0.3">
      <c r="A107" s="9" t="s">
        <v>413</v>
      </c>
      <c r="B107" s="10">
        <v>45368</v>
      </c>
      <c r="C107" s="9" t="s">
        <v>181</v>
      </c>
      <c r="D107" s="9" t="s">
        <v>224</v>
      </c>
      <c r="E107" s="9" t="s">
        <v>130</v>
      </c>
      <c r="F107" s="9" t="s">
        <v>414</v>
      </c>
      <c r="G107" s="9">
        <v>9</v>
      </c>
      <c r="H107" s="11">
        <v>0.15</v>
      </c>
      <c r="I107" s="9" t="s">
        <v>165</v>
      </c>
      <c r="J107" t="str">
        <f>PROPER(TRIM(F107))</f>
        <v>Amit Verma</v>
      </c>
      <c r="K107" t="str">
        <f>PROPER(TRIM(E107))</f>
        <v>South</v>
      </c>
      <c r="L107" t="str">
        <f>TRIM(D107)</f>
        <v>P120</v>
      </c>
      <c r="M107" t="str">
        <f>IFERROR(VLOOKUP(L107,Products!$A$2:$D$21,2,FALSE),"Unknown Product")</f>
        <v>Printer Paper</v>
      </c>
      <c r="N107" t="str">
        <f>IFERROR(VLOOKUP(L107,Products!$A$2:$D$21,3,0),"Unknown ")</f>
        <v>Stationery</v>
      </c>
      <c r="O107">
        <f>IFERROR(VLOOKUP(L107,Products!$A$2:$D$21,4,0),0)</f>
        <v>620</v>
      </c>
      <c r="P107" t="str">
        <f>IFERROR(INDEX(Customers!$C$2:$C$41,MATCH(C107,Customers!$A$2:$A$41,0)),"Unknown City")</f>
        <v>Pune</v>
      </c>
      <c r="Q107" s="22">
        <f>G107*O107*(1-H107)</f>
        <v>4743</v>
      </c>
      <c r="R107" t="str">
        <f t="shared" si="1"/>
        <v>Mar-2024</v>
      </c>
      <c r="S107" t="str">
        <f>IF(Q107&gt;=50000,"Large",IF(Q107&gt;=20000,"Medium","Small"))</f>
        <v>Small</v>
      </c>
      <c r="T107">
        <f>VLOOKUP(Q107,Commission!$A$2:$B$6,2,TRUE)</f>
        <v>0.02</v>
      </c>
      <c r="U107">
        <f>Q107*T107</f>
        <v>94.86</v>
      </c>
      <c r="V107" t="str">
        <f>IF(AND(I107="Pending",Q107&gt;20000),"Follow Up","OK")</f>
        <v>OK</v>
      </c>
      <c r="W107" t="str">
        <f>_xlfn.XLOOKUP(C107,Customers!$A$2:$A$41,Customers!$D$2:$D$41)</f>
        <v>Consumer</v>
      </c>
    </row>
    <row r="108" spans="1:23" x14ac:dyDescent="0.3">
      <c r="A108" s="9" t="s">
        <v>303</v>
      </c>
      <c r="B108" s="10">
        <v>45527</v>
      </c>
      <c r="C108" s="9" t="s">
        <v>304</v>
      </c>
      <c r="D108" s="9" t="s">
        <v>159</v>
      </c>
      <c r="E108" s="9" t="s">
        <v>130</v>
      </c>
      <c r="F108" s="9" t="s">
        <v>131</v>
      </c>
      <c r="G108" s="9">
        <v>9</v>
      </c>
      <c r="H108" s="11">
        <v>0</v>
      </c>
      <c r="I108" s="9" t="s">
        <v>145</v>
      </c>
      <c r="J108" t="str">
        <f>PROPER(TRIM(F108))</f>
        <v>Reena Joshi</v>
      </c>
      <c r="K108" t="str">
        <f>PROPER(TRIM(E108))</f>
        <v>South</v>
      </c>
      <c r="L108" t="str">
        <f>TRIM(D108)</f>
        <v>P111</v>
      </c>
      <c r="M108" t="str">
        <f>IFERROR(VLOOKUP(L108,Products!$A$2:$D$21,2,FALSE),"Unknown Product")</f>
        <v>Green Tea</v>
      </c>
      <c r="N108" t="str">
        <f>IFERROR(VLOOKUP(L108,Products!$A$2:$D$21,3,0),"Unknown ")</f>
        <v>Grocery</v>
      </c>
      <c r="O108">
        <f>IFERROR(VLOOKUP(L108,Products!$A$2:$D$21,4,0),0)</f>
        <v>420</v>
      </c>
      <c r="P108" t="str">
        <f>IFERROR(INDEX(Customers!$C$2:$C$41,MATCH(C108,Customers!$A$2:$A$41,0)),"Unknown City")</f>
        <v>Chennai</v>
      </c>
      <c r="Q108" s="22">
        <f>G108*O108*(1-H108)</f>
        <v>3780</v>
      </c>
      <c r="R108" t="str">
        <f t="shared" si="1"/>
        <v>Aug-2024</v>
      </c>
      <c r="S108" t="str">
        <f>IF(Q108&gt;=50000,"Large",IF(Q108&gt;=20000,"Medium","Small"))</f>
        <v>Small</v>
      </c>
      <c r="T108">
        <f>VLOOKUP(Q108,Commission!$A$2:$B$6,2,TRUE)</f>
        <v>0.02</v>
      </c>
      <c r="U108">
        <f>Q108*T108</f>
        <v>75.600000000000009</v>
      </c>
      <c r="V108" t="str">
        <f>IF(AND(I108="Pending",Q108&gt;20000),"Follow Up","OK")</f>
        <v>OK</v>
      </c>
      <c r="W108" t="str">
        <f>_xlfn.XLOOKUP(C108,Customers!$A$2:$A$41,Customers!$D$2:$D$41)</f>
        <v>Corporate</v>
      </c>
    </row>
    <row r="109" spans="1:23" x14ac:dyDescent="0.3">
      <c r="A109" s="9" t="s">
        <v>228</v>
      </c>
      <c r="B109" s="10">
        <v>45417</v>
      </c>
      <c r="C109" s="9" t="s">
        <v>128</v>
      </c>
      <c r="D109" s="9" t="s">
        <v>163</v>
      </c>
      <c r="E109" s="9" t="s">
        <v>130</v>
      </c>
      <c r="F109" s="9" t="s">
        <v>206</v>
      </c>
      <c r="G109" s="9">
        <v>8</v>
      </c>
      <c r="H109" s="11">
        <v>0</v>
      </c>
      <c r="I109" s="9" t="s">
        <v>126</v>
      </c>
      <c r="J109" t="str">
        <f>PROPER(TRIM(F109))</f>
        <v>Sunita Rao</v>
      </c>
      <c r="K109" t="str">
        <f>PROPER(TRIM(E109))</f>
        <v>South</v>
      </c>
      <c r="L109" t="str">
        <f>TRIM(D109)</f>
        <v>P117</v>
      </c>
      <c r="M109" t="str">
        <f>IFERROR(VLOOKUP(L109,Products!$A$2:$D$21,2,FALSE),"Unknown Product")</f>
        <v>T-Shirt Pack</v>
      </c>
      <c r="N109" t="str">
        <f>IFERROR(VLOOKUP(L109,Products!$A$2:$D$21,3,0),"Unknown ")</f>
        <v>Clothing</v>
      </c>
      <c r="O109">
        <f>IFERROR(VLOOKUP(L109,Products!$A$2:$D$21,4,0),0)</f>
        <v>1500</v>
      </c>
      <c r="P109" t="str">
        <f>IFERROR(INDEX(Customers!$C$2:$C$41,MATCH(C109,Customers!$A$2:$A$41,0)),"Unknown City")</f>
        <v>Delhi</v>
      </c>
      <c r="Q109" s="22">
        <f>G109*O109*(1-H109)</f>
        <v>12000</v>
      </c>
      <c r="R109" t="str">
        <f t="shared" si="1"/>
        <v>May-2024</v>
      </c>
      <c r="S109" t="str">
        <f>IF(Q109&gt;=50000,"Large",IF(Q109&gt;=20000,"Medium","Small"))</f>
        <v>Small</v>
      </c>
      <c r="T109">
        <f>VLOOKUP(Q109,Commission!$A$2:$B$6,2,TRUE)</f>
        <v>0.03</v>
      </c>
      <c r="U109">
        <f>Q109*T109</f>
        <v>360</v>
      </c>
      <c r="V109" t="str">
        <f>IF(AND(I109="Pending",Q109&gt;20000),"Follow Up","OK")</f>
        <v>OK</v>
      </c>
      <c r="W109" t="str">
        <f>_xlfn.XLOOKUP(C109,Customers!$A$2:$A$41,Customers!$D$2:$D$41)</f>
        <v>Consumer</v>
      </c>
    </row>
    <row r="110" spans="1:23" x14ac:dyDescent="0.3">
      <c r="A110" s="9" t="s">
        <v>361</v>
      </c>
      <c r="B110" s="10">
        <v>45550</v>
      </c>
      <c r="C110" s="9" t="s">
        <v>223</v>
      </c>
      <c r="D110" s="9" t="s">
        <v>163</v>
      </c>
      <c r="E110" s="9" t="s">
        <v>130</v>
      </c>
      <c r="F110" s="9" t="s">
        <v>135</v>
      </c>
      <c r="G110" s="9">
        <v>8</v>
      </c>
      <c r="H110" s="11">
        <v>0.1</v>
      </c>
      <c r="I110" s="9" t="s">
        <v>145</v>
      </c>
      <c r="J110" t="str">
        <f>PROPER(TRIM(F110))</f>
        <v>Manoj Das</v>
      </c>
      <c r="K110" t="str">
        <f>PROPER(TRIM(E110))</f>
        <v>South</v>
      </c>
      <c r="L110" t="str">
        <f>TRIM(D110)</f>
        <v>P117</v>
      </c>
      <c r="M110" t="str">
        <f>IFERROR(VLOOKUP(L110,Products!$A$2:$D$21,2,FALSE),"Unknown Product")</f>
        <v>T-Shirt Pack</v>
      </c>
      <c r="N110" t="str">
        <f>IFERROR(VLOOKUP(L110,Products!$A$2:$D$21,3,0),"Unknown ")</f>
        <v>Clothing</v>
      </c>
      <c r="O110">
        <f>IFERROR(VLOOKUP(L110,Products!$A$2:$D$21,4,0),0)</f>
        <v>1500</v>
      </c>
      <c r="P110" t="str">
        <f>IFERROR(INDEX(Customers!$C$2:$C$41,MATCH(C110,Customers!$A$2:$A$41,0)),"Unknown City")</f>
        <v>Delhi</v>
      </c>
      <c r="Q110" s="22">
        <f>G110*O110*(1-H110)</f>
        <v>10800</v>
      </c>
      <c r="R110" t="str">
        <f t="shared" si="1"/>
        <v>Sep-2024</v>
      </c>
      <c r="S110" t="str">
        <f>IF(Q110&gt;=50000,"Large",IF(Q110&gt;=20000,"Medium","Small"))</f>
        <v>Small</v>
      </c>
      <c r="T110">
        <f>VLOOKUP(Q110,Commission!$A$2:$B$6,2,TRUE)</f>
        <v>0.03</v>
      </c>
      <c r="U110">
        <f>Q110*T110</f>
        <v>324</v>
      </c>
      <c r="V110" t="str">
        <f>IF(AND(I110="Pending",Q110&gt;20000),"Follow Up","OK")</f>
        <v>OK</v>
      </c>
      <c r="W110" t="str">
        <f>_xlfn.XLOOKUP(C110,Customers!$A$2:$A$41,Customers!$D$2:$D$41)</f>
        <v>Home Office</v>
      </c>
    </row>
    <row r="111" spans="1:23" x14ac:dyDescent="0.3">
      <c r="A111" s="9" t="s">
        <v>257</v>
      </c>
      <c r="B111" s="10">
        <v>45422</v>
      </c>
      <c r="C111" s="9" t="s">
        <v>251</v>
      </c>
      <c r="D111" s="9" t="s">
        <v>224</v>
      </c>
      <c r="E111" s="9" t="s">
        <v>130</v>
      </c>
      <c r="F111" s="9" t="s">
        <v>164</v>
      </c>
      <c r="G111" s="9">
        <v>8</v>
      </c>
      <c r="H111" s="11">
        <v>0</v>
      </c>
      <c r="I111" s="9" t="s">
        <v>165</v>
      </c>
      <c r="J111" t="str">
        <f>PROPER(TRIM(F111))</f>
        <v>Amit Verma</v>
      </c>
      <c r="K111" t="str">
        <f>PROPER(TRIM(E111))</f>
        <v>South</v>
      </c>
      <c r="L111" t="str">
        <f>TRIM(D111)</f>
        <v>P120</v>
      </c>
      <c r="M111" t="str">
        <f>IFERROR(VLOOKUP(L111,Products!$A$2:$D$21,2,FALSE),"Unknown Product")</f>
        <v>Printer Paper</v>
      </c>
      <c r="N111" t="str">
        <f>IFERROR(VLOOKUP(L111,Products!$A$2:$D$21,3,0),"Unknown ")</f>
        <v>Stationery</v>
      </c>
      <c r="O111">
        <f>IFERROR(VLOOKUP(L111,Products!$A$2:$D$21,4,0),0)</f>
        <v>620</v>
      </c>
      <c r="P111" t="str">
        <f>IFERROR(INDEX(Customers!$C$2:$C$41,MATCH(C111,Customers!$A$2:$A$41,0)),"Unknown City")</f>
        <v>Bengaluru</v>
      </c>
      <c r="Q111" s="22">
        <f>G111*O111*(1-H111)</f>
        <v>4960</v>
      </c>
      <c r="R111" t="str">
        <f t="shared" si="1"/>
        <v>May-2024</v>
      </c>
      <c r="S111" t="str">
        <f>IF(Q111&gt;=50000,"Large",IF(Q111&gt;=20000,"Medium","Small"))</f>
        <v>Small</v>
      </c>
      <c r="T111">
        <f>VLOOKUP(Q111,Commission!$A$2:$B$6,2,TRUE)</f>
        <v>0.02</v>
      </c>
      <c r="U111">
        <f>Q111*T111</f>
        <v>99.2</v>
      </c>
      <c r="V111" t="str">
        <f>IF(AND(I111="Pending",Q111&gt;20000),"Follow Up","OK")</f>
        <v>OK</v>
      </c>
      <c r="W111" t="str">
        <f>_xlfn.XLOOKUP(C111,Customers!$A$2:$A$41,Customers!$D$2:$D$41)</f>
        <v>Home Office</v>
      </c>
    </row>
    <row r="112" spans="1:23" x14ac:dyDescent="0.3">
      <c r="A112" s="9" t="s">
        <v>398</v>
      </c>
      <c r="B112" s="10">
        <v>45427</v>
      </c>
      <c r="C112" s="9" t="s">
        <v>150</v>
      </c>
      <c r="D112" s="9" t="s">
        <v>185</v>
      </c>
      <c r="E112" s="9" t="s">
        <v>130</v>
      </c>
      <c r="F112" s="9" t="s">
        <v>206</v>
      </c>
      <c r="G112" s="9">
        <v>7</v>
      </c>
      <c r="H112" s="11">
        <v>0.05</v>
      </c>
      <c r="I112" s="9" t="s">
        <v>165</v>
      </c>
      <c r="J112" t="str">
        <f>PROPER(TRIM(F112))</f>
        <v>Sunita Rao</v>
      </c>
      <c r="K112" t="str">
        <f>PROPER(TRIM(E112))</f>
        <v>South</v>
      </c>
      <c r="L112" t="str">
        <f>TRIM(D112)</f>
        <v>P103</v>
      </c>
      <c r="M112" t="str">
        <f>IFERROR(VLOOKUP(L112,Products!$A$2:$D$21,2,FALSE),"Unknown Product")</f>
        <v>Headphones</v>
      </c>
      <c r="N112" t="str">
        <f>IFERROR(VLOOKUP(L112,Products!$A$2:$D$21,3,0),"Unknown ")</f>
        <v>Electronics</v>
      </c>
      <c r="O112">
        <f>IFERROR(VLOOKUP(L112,Products!$A$2:$D$21,4,0),0)</f>
        <v>3500</v>
      </c>
      <c r="P112" t="str">
        <f>IFERROR(INDEX(Customers!$C$2:$C$41,MATCH(C112,Customers!$A$2:$A$41,0)),"Unknown City")</f>
        <v>Kolkata</v>
      </c>
      <c r="Q112" s="22">
        <f>G112*O112*(1-H112)</f>
        <v>23275</v>
      </c>
      <c r="R112" t="str">
        <f t="shared" si="1"/>
        <v>May-2024</v>
      </c>
      <c r="S112" t="str">
        <f>IF(Q112&gt;=50000,"Large",IF(Q112&gt;=20000,"Medium","Small"))</f>
        <v>Medium</v>
      </c>
      <c r="T112">
        <f>VLOOKUP(Q112,Commission!$A$2:$B$6,2,TRUE)</f>
        <v>0.03</v>
      </c>
      <c r="U112">
        <f>Q112*T112</f>
        <v>698.25</v>
      </c>
      <c r="V112" t="str">
        <f>IF(AND(I112="Pending",Q112&gt;20000),"Follow Up","OK")</f>
        <v>Follow Up</v>
      </c>
      <c r="W112" t="str">
        <f>_xlfn.XLOOKUP(C112,Customers!$A$2:$A$41,Customers!$D$2:$D$41)</f>
        <v>Corporate</v>
      </c>
    </row>
    <row r="113" spans="1:23" x14ac:dyDescent="0.3">
      <c r="A113" s="9" t="s">
        <v>136</v>
      </c>
      <c r="B113" s="10">
        <v>45554</v>
      </c>
      <c r="C113" s="9" t="s">
        <v>137</v>
      </c>
      <c r="D113" s="9" t="s">
        <v>138</v>
      </c>
      <c r="E113" s="9" t="s">
        <v>139</v>
      </c>
      <c r="F113" s="9" t="s">
        <v>140</v>
      </c>
      <c r="G113" s="9">
        <v>7</v>
      </c>
      <c r="H113" s="11">
        <v>0</v>
      </c>
      <c r="I113" s="9" t="s">
        <v>126</v>
      </c>
      <c r="J113" t="str">
        <f>PROPER(TRIM(F113))</f>
        <v>Pooja Nair</v>
      </c>
      <c r="K113" t="str">
        <f>PROPER(TRIM(E113))</f>
        <v>South</v>
      </c>
      <c r="L113" t="str">
        <f>TRIM(D113)</f>
        <v>P113</v>
      </c>
      <c r="M113" t="str">
        <f>IFERROR(VLOOKUP(L113,Products!$A$2:$D$21,2,FALSE),"Unknown Product")</f>
        <v>Protein Bar Box</v>
      </c>
      <c r="N113" t="str">
        <f>IFERROR(VLOOKUP(L113,Products!$A$2:$D$21,3,0),"Unknown ")</f>
        <v>Grocery</v>
      </c>
      <c r="O113">
        <f>IFERROR(VLOOKUP(L113,Products!$A$2:$D$21,4,0),0)</f>
        <v>1200</v>
      </c>
      <c r="P113" t="str">
        <f>IFERROR(INDEX(Customers!$C$2:$C$41,MATCH(C113,Customers!$A$2:$A$41,0)),"Unknown City")</f>
        <v>Bengaluru</v>
      </c>
      <c r="Q113" s="22">
        <f>G113*O113*(1-H113)</f>
        <v>8400</v>
      </c>
      <c r="R113" t="str">
        <f t="shared" si="1"/>
        <v>Sep-2024</v>
      </c>
      <c r="S113" t="str">
        <f>IF(Q113&gt;=50000,"Large",IF(Q113&gt;=20000,"Medium","Small"))</f>
        <v>Small</v>
      </c>
      <c r="T113">
        <f>VLOOKUP(Q113,Commission!$A$2:$B$6,2,TRUE)</f>
        <v>0.02</v>
      </c>
      <c r="U113">
        <f>Q113*T113</f>
        <v>168</v>
      </c>
      <c r="V113" t="str">
        <f>IF(AND(I113="Pending",Q113&gt;20000),"Follow Up","OK")</f>
        <v>OK</v>
      </c>
      <c r="W113" t="str">
        <f>_xlfn.XLOOKUP(C113,Customers!$A$2:$A$41,Customers!$D$2:$D$41)</f>
        <v>Home Office</v>
      </c>
    </row>
    <row r="114" spans="1:23" x14ac:dyDescent="0.3">
      <c r="A114" s="9" t="s">
        <v>351</v>
      </c>
      <c r="B114" s="10">
        <v>45506</v>
      </c>
      <c r="C114" s="9" t="s">
        <v>197</v>
      </c>
      <c r="D114" s="9" t="s">
        <v>138</v>
      </c>
      <c r="E114" s="9" t="s">
        <v>130</v>
      </c>
      <c r="F114" s="9" t="s">
        <v>135</v>
      </c>
      <c r="G114" s="9">
        <v>7</v>
      </c>
      <c r="H114" s="11">
        <v>0.05</v>
      </c>
      <c r="I114" s="9" t="s">
        <v>165</v>
      </c>
      <c r="J114" t="str">
        <f>PROPER(TRIM(F114))</f>
        <v>Manoj Das</v>
      </c>
      <c r="K114" t="str">
        <f>PROPER(TRIM(E114))</f>
        <v>South</v>
      </c>
      <c r="L114" t="str">
        <f>TRIM(D114)</f>
        <v>P113</v>
      </c>
      <c r="M114" t="str">
        <f>IFERROR(VLOOKUP(L114,Products!$A$2:$D$21,2,FALSE),"Unknown Product")</f>
        <v>Protein Bar Box</v>
      </c>
      <c r="N114" t="str">
        <f>IFERROR(VLOOKUP(L114,Products!$A$2:$D$21,3,0),"Unknown ")</f>
        <v>Grocery</v>
      </c>
      <c r="O114">
        <f>IFERROR(VLOOKUP(L114,Products!$A$2:$D$21,4,0),0)</f>
        <v>1200</v>
      </c>
      <c r="P114" t="str">
        <f>IFERROR(INDEX(Customers!$C$2:$C$41,MATCH(C114,Customers!$A$2:$A$41,0)),"Unknown City")</f>
        <v>Chennai</v>
      </c>
      <c r="Q114" s="22">
        <f>G114*O114*(1-H114)</f>
        <v>7980</v>
      </c>
      <c r="R114" t="str">
        <f t="shared" si="1"/>
        <v>Aug-2024</v>
      </c>
      <c r="S114" t="str">
        <f>IF(Q114&gt;=50000,"Large",IF(Q114&gt;=20000,"Medium","Small"))</f>
        <v>Small</v>
      </c>
      <c r="T114">
        <f>VLOOKUP(Q114,Commission!$A$2:$B$6,2,TRUE)</f>
        <v>0.02</v>
      </c>
      <c r="U114">
        <f>Q114*T114</f>
        <v>159.6</v>
      </c>
      <c r="V114" t="str">
        <f>IF(AND(I114="Pending",Q114&gt;20000),"Follow Up","OK")</f>
        <v>OK</v>
      </c>
      <c r="W114" t="str">
        <f>_xlfn.XLOOKUP(C114,Customers!$A$2:$A$41,Customers!$D$2:$D$41)</f>
        <v>Home Office</v>
      </c>
    </row>
    <row r="115" spans="1:23" x14ac:dyDescent="0.3">
      <c r="A115" s="9" t="s">
        <v>267</v>
      </c>
      <c r="B115" s="10">
        <v>45345</v>
      </c>
      <c r="C115" s="9" t="s">
        <v>268</v>
      </c>
      <c r="D115" s="9" t="s">
        <v>224</v>
      </c>
      <c r="E115" s="9" t="s">
        <v>130</v>
      </c>
      <c r="F115" s="9" t="s">
        <v>154</v>
      </c>
      <c r="G115" s="9">
        <v>7</v>
      </c>
      <c r="H115" s="11">
        <v>0</v>
      </c>
      <c r="I115" s="9" t="s">
        <v>145</v>
      </c>
      <c r="J115" t="str">
        <f>PROPER(TRIM(F115))</f>
        <v>Kiran Shah</v>
      </c>
      <c r="K115" t="str">
        <f>PROPER(TRIM(E115))</f>
        <v>South</v>
      </c>
      <c r="L115" t="str">
        <f>TRIM(D115)</f>
        <v>P120</v>
      </c>
      <c r="M115" t="str">
        <f>IFERROR(VLOOKUP(L115,Products!$A$2:$D$21,2,FALSE),"Unknown Product")</f>
        <v>Printer Paper</v>
      </c>
      <c r="N115" t="str">
        <f>IFERROR(VLOOKUP(L115,Products!$A$2:$D$21,3,0),"Unknown ")</f>
        <v>Stationery</v>
      </c>
      <c r="O115">
        <f>IFERROR(VLOOKUP(L115,Products!$A$2:$D$21,4,0),0)</f>
        <v>620</v>
      </c>
      <c r="P115" t="str">
        <f>IFERROR(INDEX(Customers!$C$2:$C$41,MATCH(C115,Customers!$A$2:$A$41,0)),"Unknown City")</f>
        <v>Chennai</v>
      </c>
      <c r="Q115" s="22">
        <f>G115*O115*(1-H115)</f>
        <v>4340</v>
      </c>
      <c r="R115" t="str">
        <f t="shared" si="1"/>
        <v>Feb-2024</v>
      </c>
      <c r="S115" t="str">
        <f>IF(Q115&gt;=50000,"Large",IF(Q115&gt;=20000,"Medium","Small"))</f>
        <v>Small</v>
      </c>
      <c r="T115">
        <f>VLOOKUP(Q115,Commission!$A$2:$B$6,2,TRUE)</f>
        <v>0.02</v>
      </c>
      <c r="U115">
        <f>Q115*T115</f>
        <v>86.8</v>
      </c>
      <c r="V115" t="str">
        <f>IF(AND(I115="Pending",Q115&gt;20000),"Follow Up","OK")</f>
        <v>OK</v>
      </c>
      <c r="W115" t="str">
        <f>_xlfn.XLOOKUP(C115,Customers!$A$2:$A$41,Customers!$D$2:$D$41)</f>
        <v>Home Office</v>
      </c>
    </row>
    <row r="116" spans="1:23" x14ac:dyDescent="0.3">
      <c r="A116" s="9" t="s">
        <v>297</v>
      </c>
      <c r="B116" s="10">
        <v>45353</v>
      </c>
      <c r="C116" s="9" t="s">
        <v>298</v>
      </c>
      <c r="D116" s="9" t="s">
        <v>123</v>
      </c>
      <c r="E116" s="9" t="s">
        <v>130</v>
      </c>
      <c r="F116" s="9" t="s">
        <v>206</v>
      </c>
      <c r="G116" s="9">
        <v>6</v>
      </c>
      <c r="H116" s="11">
        <v>0.1</v>
      </c>
      <c r="I116" s="9" t="s">
        <v>126</v>
      </c>
      <c r="J116" t="str">
        <f>PROPER(TRIM(F116))</f>
        <v>Sunita Rao</v>
      </c>
      <c r="K116" t="str">
        <f>PROPER(TRIM(E116))</f>
        <v>South</v>
      </c>
      <c r="L116" t="str">
        <f>TRIM(D116)</f>
        <v>P107</v>
      </c>
      <c r="M116" t="str">
        <f>IFERROR(VLOOKUP(L116,Products!$A$2:$D$21,2,FALSE),"Unknown Product")</f>
        <v>Standing Desk</v>
      </c>
      <c r="N116" t="str">
        <f>IFERROR(VLOOKUP(L116,Products!$A$2:$D$21,3,0),"Unknown ")</f>
        <v>Furniture</v>
      </c>
      <c r="O116">
        <f>IFERROR(VLOOKUP(L116,Products!$A$2:$D$21,4,0),0)</f>
        <v>18000</v>
      </c>
      <c r="P116" t="str">
        <f>IFERROR(INDEX(Customers!$C$2:$C$41,MATCH(C116,Customers!$A$2:$A$41,0)),"Unknown City")</f>
        <v>Bengaluru</v>
      </c>
      <c r="Q116" s="22">
        <f>G116*O116*(1-H116)</f>
        <v>97200</v>
      </c>
      <c r="R116" t="str">
        <f t="shared" si="1"/>
        <v>Mar-2024</v>
      </c>
      <c r="S116" t="str">
        <f>IF(Q116&gt;=50000,"Large",IF(Q116&gt;=20000,"Medium","Small"))</f>
        <v>Large</v>
      </c>
      <c r="T116">
        <f>VLOOKUP(Q116,Commission!$A$2:$B$6,2,TRUE)</f>
        <v>0.05</v>
      </c>
      <c r="U116">
        <f>Q116*T116</f>
        <v>4860</v>
      </c>
      <c r="V116" t="str">
        <f>IF(AND(I116="Pending",Q116&gt;20000),"Follow Up","OK")</f>
        <v>OK</v>
      </c>
      <c r="W116" t="str">
        <f>_xlfn.XLOOKUP(C116,Customers!$A$2:$A$41,Customers!$D$2:$D$41)</f>
        <v>Consumer</v>
      </c>
    </row>
    <row r="117" spans="1:23" x14ac:dyDescent="0.3">
      <c r="A117" s="9" t="s">
        <v>269</v>
      </c>
      <c r="B117" s="10">
        <v>45490</v>
      </c>
      <c r="C117" s="9" t="s">
        <v>137</v>
      </c>
      <c r="D117" s="9" t="s">
        <v>143</v>
      </c>
      <c r="E117" s="9" t="s">
        <v>130</v>
      </c>
      <c r="F117" s="9" t="s">
        <v>157</v>
      </c>
      <c r="G117" s="9">
        <v>6</v>
      </c>
      <c r="H117" s="11">
        <v>0</v>
      </c>
      <c r="I117" s="9" t="s">
        <v>165</v>
      </c>
      <c r="J117" t="str">
        <f>PROPER(TRIM(F117))</f>
        <v>Faisal Khan</v>
      </c>
      <c r="K117" t="str">
        <f>PROPER(TRIM(E117))</f>
        <v>South</v>
      </c>
      <c r="L117" t="str">
        <f>TRIM(D117)</f>
        <v>P116</v>
      </c>
      <c r="M117" t="str">
        <f>IFERROR(VLOOKUP(L117,Products!$A$2:$D$21,2,FALSE),"Unknown Product")</f>
        <v>Sneakers</v>
      </c>
      <c r="N117" t="str">
        <f>IFERROR(VLOOKUP(L117,Products!$A$2:$D$21,3,0),"Unknown ")</f>
        <v>Clothing</v>
      </c>
      <c r="O117">
        <f>IFERROR(VLOOKUP(L117,Products!$A$2:$D$21,4,0),0)</f>
        <v>4500</v>
      </c>
      <c r="P117" t="str">
        <f>IFERROR(INDEX(Customers!$C$2:$C$41,MATCH(C117,Customers!$A$2:$A$41,0)),"Unknown City")</f>
        <v>Bengaluru</v>
      </c>
      <c r="Q117" s="22">
        <f>G117*O117*(1-H117)</f>
        <v>27000</v>
      </c>
      <c r="R117" t="str">
        <f t="shared" si="1"/>
        <v>Jul-2024</v>
      </c>
      <c r="S117" t="str">
        <f>IF(Q117&gt;=50000,"Large",IF(Q117&gt;=20000,"Medium","Small"))</f>
        <v>Medium</v>
      </c>
      <c r="T117">
        <f>VLOOKUP(Q117,Commission!$A$2:$B$6,2,TRUE)</f>
        <v>0.04</v>
      </c>
      <c r="U117">
        <f>Q117*T117</f>
        <v>1080</v>
      </c>
      <c r="V117" t="str">
        <f>IF(AND(I117="Pending",Q117&gt;20000),"Follow Up","OK")</f>
        <v>Follow Up</v>
      </c>
      <c r="W117" t="str">
        <f>_xlfn.XLOOKUP(C117,Customers!$A$2:$A$41,Customers!$D$2:$D$41)</f>
        <v>Home Office</v>
      </c>
    </row>
    <row r="118" spans="1:23" x14ac:dyDescent="0.3">
      <c r="A118" s="9" t="s">
        <v>232</v>
      </c>
      <c r="B118" s="10">
        <v>45330</v>
      </c>
      <c r="C118" s="9" t="s">
        <v>233</v>
      </c>
      <c r="D118" s="9" t="s">
        <v>185</v>
      </c>
      <c r="E118" s="9" t="s">
        <v>130</v>
      </c>
      <c r="F118" s="9" t="s">
        <v>135</v>
      </c>
      <c r="G118" s="9">
        <v>6</v>
      </c>
      <c r="H118" s="11">
        <v>0</v>
      </c>
      <c r="I118" s="9" t="s">
        <v>145</v>
      </c>
      <c r="J118" t="str">
        <f>PROPER(TRIM(F118))</f>
        <v>Manoj Das</v>
      </c>
      <c r="K118" t="str">
        <f>PROPER(TRIM(E118))</f>
        <v>South</v>
      </c>
      <c r="L118" t="str">
        <f>TRIM(D118)</f>
        <v>P103</v>
      </c>
      <c r="M118" t="str">
        <f>IFERROR(VLOOKUP(L118,Products!$A$2:$D$21,2,FALSE),"Unknown Product")</f>
        <v>Headphones</v>
      </c>
      <c r="N118" t="str">
        <f>IFERROR(VLOOKUP(L118,Products!$A$2:$D$21,3,0),"Unknown ")</f>
        <v>Electronics</v>
      </c>
      <c r="O118">
        <f>IFERROR(VLOOKUP(L118,Products!$A$2:$D$21,4,0),0)</f>
        <v>3500</v>
      </c>
      <c r="P118" t="str">
        <f>IFERROR(INDEX(Customers!$C$2:$C$41,MATCH(C118,Customers!$A$2:$A$41,0)),"Unknown City")</f>
        <v>Mumbai</v>
      </c>
      <c r="Q118" s="22">
        <f>G118*O118*(1-H118)</f>
        <v>21000</v>
      </c>
      <c r="R118" t="str">
        <f t="shared" si="1"/>
        <v>Feb-2024</v>
      </c>
      <c r="S118" t="str">
        <f>IF(Q118&gt;=50000,"Large",IF(Q118&gt;=20000,"Medium","Small"))</f>
        <v>Medium</v>
      </c>
      <c r="T118">
        <f>VLOOKUP(Q118,Commission!$A$2:$B$6,2,TRUE)</f>
        <v>0.03</v>
      </c>
      <c r="U118">
        <f>Q118*T118</f>
        <v>630</v>
      </c>
      <c r="V118" t="str">
        <f>IF(AND(I118="Pending",Q118&gt;20000),"Follow Up","OK")</f>
        <v>OK</v>
      </c>
      <c r="W118" t="str">
        <f>_xlfn.XLOOKUP(C118,Customers!$A$2:$A$41,Customers!$D$2:$D$41)</f>
        <v>Corporate</v>
      </c>
    </row>
    <row r="119" spans="1:23" x14ac:dyDescent="0.3">
      <c r="A119" s="9" t="s">
        <v>400</v>
      </c>
      <c r="B119" s="10">
        <v>45335</v>
      </c>
      <c r="C119" s="9" t="s">
        <v>233</v>
      </c>
      <c r="D119" s="9" t="s">
        <v>163</v>
      </c>
      <c r="E119" s="9" t="s">
        <v>130</v>
      </c>
      <c r="F119" s="9" t="s">
        <v>243</v>
      </c>
      <c r="G119" s="9">
        <v>6</v>
      </c>
      <c r="H119" s="11">
        <v>0.15</v>
      </c>
      <c r="I119" s="9" t="s">
        <v>165</v>
      </c>
      <c r="J119" t="str">
        <f>PROPER(TRIM(F119))</f>
        <v>Faisal Khan</v>
      </c>
      <c r="K119" t="str">
        <f>PROPER(TRIM(E119))</f>
        <v>South</v>
      </c>
      <c r="L119" t="str">
        <f>TRIM(D119)</f>
        <v>P117</v>
      </c>
      <c r="M119" t="str">
        <f>IFERROR(VLOOKUP(L119,Products!$A$2:$D$21,2,FALSE),"Unknown Product")</f>
        <v>T-Shirt Pack</v>
      </c>
      <c r="N119" t="str">
        <f>IFERROR(VLOOKUP(L119,Products!$A$2:$D$21,3,0),"Unknown ")</f>
        <v>Clothing</v>
      </c>
      <c r="O119">
        <f>IFERROR(VLOOKUP(L119,Products!$A$2:$D$21,4,0),0)</f>
        <v>1500</v>
      </c>
      <c r="P119" t="str">
        <f>IFERROR(INDEX(Customers!$C$2:$C$41,MATCH(C119,Customers!$A$2:$A$41,0)),"Unknown City")</f>
        <v>Mumbai</v>
      </c>
      <c r="Q119" s="22">
        <f>G119*O119*(1-H119)</f>
        <v>7650</v>
      </c>
      <c r="R119" t="str">
        <f t="shared" si="1"/>
        <v>Feb-2024</v>
      </c>
      <c r="S119" t="str">
        <f>IF(Q119&gt;=50000,"Large",IF(Q119&gt;=20000,"Medium","Small"))</f>
        <v>Small</v>
      </c>
      <c r="T119">
        <f>VLOOKUP(Q119,Commission!$A$2:$B$6,2,TRUE)</f>
        <v>0.02</v>
      </c>
      <c r="U119">
        <f>Q119*T119</f>
        <v>153</v>
      </c>
      <c r="V119" t="str">
        <f>IF(AND(I119="Pending",Q119&gt;20000),"Follow Up","OK")</f>
        <v>OK</v>
      </c>
      <c r="W119" t="str">
        <f>_xlfn.XLOOKUP(C119,Customers!$A$2:$A$41,Customers!$D$2:$D$41)</f>
        <v>Corporate</v>
      </c>
    </row>
    <row r="120" spans="1:23" x14ac:dyDescent="0.3">
      <c r="A120" s="9" t="s">
        <v>155</v>
      </c>
      <c r="B120" s="10">
        <v>45403</v>
      </c>
      <c r="C120" s="9" t="s">
        <v>156</v>
      </c>
      <c r="D120" s="9" t="s">
        <v>138</v>
      </c>
      <c r="E120" s="9" t="s">
        <v>130</v>
      </c>
      <c r="F120" s="9" t="s">
        <v>157</v>
      </c>
      <c r="G120" s="9">
        <v>6</v>
      </c>
      <c r="H120" s="11">
        <v>0</v>
      </c>
      <c r="I120" s="9" t="s">
        <v>126</v>
      </c>
      <c r="J120" t="str">
        <f>PROPER(TRIM(F120))</f>
        <v>Faisal Khan</v>
      </c>
      <c r="K120" t="str">
        <f>PROPER(TRIM(E120))</f>
        <v>South</v>
      </c>
      <c r="L120" t="str">
        <f>TRIM(D120)</f>
        <v>P113</v>
      </c>
      <c r="M120" t="str">
        <f>IFERROR(VLOOKUP(L120,Products!$A$2:$D$21,2,FALSE),"Unknown Product")</f>
        <v>Protein Bar Box</v>
      </c>
      <c r="N120" t="str">
        <f>IFERROR(VLOOKUP(L120,Products!$A$2:$D$21,3,0),"Unknown ")</f>
        <v>Grocery</v>
      </c>
      <c r="O120">
        <f>IFERROR(VLOOKUP(L120,Products!$A$2:$D$21,4,0),0)</f>
        <v>1200</v>
      </c>
      <c r="P120" t="str">
        <f>IFERROR(INDEX(Customers!$C$2:$C$41,MATCH(C120,Customers!$A$2:$A$41,0)),"Unknown City")</f>
        <v>Hyderabad</v>
      </c>
      <c r="Q120" s="22">
        <f>G120*O120*(1-H120)</f>
        <v>7200</v>
      </c>
      <c r="R120" t="str">
        <f t="shared" si="1"/>
        <v>Apr-2024</v>
      </c>
      <c r="S120" t="str">
        <f>IF(Q120&gt;=50000,"Large",IF(Q120&gt;=20000,"Medium","Small"))</f>
        <v>Small</v>
      </c>
      <c r="T120">
        <f>VLOOKUP(Q120,Commission!$A$2:$B$6,2,TRUE)</f>
        <v>0.02</v>
      </c>
      <c r="U120">
        <f>Q120*T120</f>
        <v>144</v>
      </c>
      <c r="V120" t="str">
        <f>IF(AND(I120="Pending",Q120&gt;20000),"Follow Up","OK")</f>
        <v>OK</v>
      </c>
      <c r="W120" t="str">
        <f>_xlfn.XLOOKUP(C120,Customers!$A$2:$A$41,Customers!$D$2:$D$41)</f>
        <v>Consumer</v>
      </c>
    </row>
    <row r="121" spans="1:23" x14ac:dyDescent="0.3">
      <c r="A121" s="9" t="s">
        <v>378</v>
      </c>
      <c r="B121" s="10">
        <v>45600</v>
      </c>
      <c r="C121" s="9" t="s">
        <v>173</v>
      </c>
      <c r="D121" s="9" t="s">
        <v>174</v>
      </c>
      <c r="E121" s="9" t="s">
        <v>130</v>
      </c>
      <c r="F121" s="9" t="s">
        <v>140</v>
      </c>
      <c r="G121" s="9">
        <v>6</v>
      </c>
      <c r="H121" s="11">
        <v>0</v>
      </c>
      <c r="I121" s="9" t="s">
        <v>126</v>
      </c>
      <c r="J121" t="str">
        <f>PROPER(TRIM(F121))</f>
        <v>Pooja Nair</v>
      </c>
      <c r="K121" t="str">
        <f>PROPER(TRIM(E121))</f>
        <v>South</v>
      </c>
      <c r="L121" t="str">
        <f>TRIM(D121)</f>
        <v>P112</v>
      </c>
      <c r="M121" t="str">
        <f>IFERROR(VLOOKUP(L121,Products!$A$2:$D$21,2,FALSE),"Unknown Product")</f>
        <v>Olive Oil</v>
      </c>
      <c r="N121" t="str">
        <f>IFERROR(VLOOKUP(L121,Products!$A$2:$D$21,3,0),"Unknown ")</f>
        <v>Grocery</v>
      </c>
      <c r="O121">
        <f>IFERROR(VLOOKUP(L121,Products!$A$2:$D$21,4,0),0)</f>
        <v>980</v>
      </c>
      <c r="P121" t="str">
        <f>IFERROR(INDEX(Customers!$C$2:$C$41,MATCH(C121,Customers!$A$2:$A$41,0)),"Unknown City")</f>
        <v>Chennai</v>
      </c>
      <c r="Q121" s="22">
        <f>G121*O121*(1-H121)</f>
        <v>5880</v>
      </c>
      <c r="R121" t="str">
        <f t="shared" si="1"/>
        <v>Nov-2024</v>
      </c>
      <c r="S121" t="str">
        <f>IF(Q121&gt;=50000,"Large",IF(Q121&gt;=20000,"Medium","Small"))</f>
        <v>Small</v>
      </c>
      <c r="T121">
        <f>VLOOKUP(Q121,Commission!$A$2:$B$6,2,TRUE)</f>
        <v>0.02</v>
      </c>
      <c r="U121">
        <f>Q121*T121</f>
        <v>117.60000000000001</v>
      </c>
      <c r="V121" t="str">
        <f>IF(AND(I121="Pending",Q121&gt;20000),"Follow Up","OK")</f>
        <v>OK</v>
      </c>
      <c r="W121" t="str">
        <f>_xlfn.XLOOKUP(C121,Customers!$A$2:$A$41,Customers!$D$2:$D$41)</f>
        <v>Consumer</v>
      </c>
    </row>
    <row r="122" spans="1:23" x14ac:dyDescent="0.3">
      <c r="A122" s="9" t="s">
        <v>403</v>
      </c>
      <c r="B122" s="10">
        <v>45422</v>
      </c>
      <c r="C122" s="9" t="s">
        <v>156</v>
      </c>
      <c r="D122" s="9" t="s">
        <v>224</v>
      </c>
      <c r="E122" s="9" t="s">
        <v>130</v>
      </c>
      <c r="F122" s="9" t="s">
        <v>164</v>
      </c>
      <c r="G122" s="9">
        <v>6</v>
      </c>
      <c r="H122" s="11">
        <v>0.05</v>
      </c>
      <c r="I122" s="9" t="s">
        <v>126</v>
      </c>
      <c r="J122" t="str">
        <f>PROPER(TRIM(F122))</f>
        <v>Amit Verma</v>
      </c>
      <c r="K122" t="str">
        <f>PROPER(TRIM(E122))</f>
        <v>South</v>
      </c>
      <c r="L122" t="str">
        <f>TRIM(D122)</f>
        <v>P120</v>
      </c>
      <c r="M122" t="str">
        <f>IFERROR(VLOOKUP(L122,Products!$A$2:$D$21,2,FALSE),"Unknown Product")</f>
        <v>Printer Paper</v>
      </c>
      <c r="N122" t="str">
        <f>IFERROR(VLOOKUP(L122,Products!$A$2:$D$21,3,0),"Unknown ")</f>
        <v>Stationery</v>
      </c>
      <c r="O122">
        <f>IFERROR(VLOOKUP(L122,Products!$A$2:$D$21,4,0),0)</f>
        <v>620</v>
      </c>
      <c r="P122" t="str">
        <f>IFERROR(INDEX(Customers!$C$2:$C$41,MATCH(C122,Customers!$A$2:$A$41,0)),"Unknown City")</f>
        <v>Hyderabad</v>
      </c>
      <c r="Q122" s="22">
        <f>G122*O122*(1-H122)</f>
        <v>3534</v>
      </c>
      <c r="R122" t="str">
        <f t="shared" si="1"/>
        <v>May-2024</v>
      </c>
      <c r="S122" t="str">
        <f>IF(Q122&gt;=50000,"Large",IF(Q122&gt;=20000,"Medium","Small"))</f>
        <v>Small</v>
      </c>
      <c r="T122">
        <f>VLOOKUP(Q122,Commission!$A$2:$B$6,2,TRUE)</f>
        <v>0.02</v>
      </c>
      <c r="U122">
        <f>Q122*T122</f>
        <v>70.680000000000007</v>
      </c>
      <c r="V122" t="str">
        <f>IF(AND(I122="Pending",Q122&gt;20000),"Follow Up","OK")</f>
        <v>OK</v>
      </c>
      <c r="W122" t="str">
        <f>_xlfn.XLOOKUP(C122,Customers!$A$2:$A$41,Customers!$D$2:$D$41)</f>
        <v>Consumer</v>
      </c>
    </row>
    <row r="123" spans="1:23" x14ac:dyDescent="0.3">
      <c r="A123" s="9" t="s">
        <v>401</v>
      </c>
      <c r="B123" s="10">
        <v>45646</v>
      </c>
      <c r="C123" s="9" t="s">
        <v>264</v>
      </c>
      <c r="D123" s="9" t="s">
        <v>123</v>
      </c>
      <c r="E123" s="9" t="s">
        <v>130</v>
      </c>
      <c r="F123" s="9" t="s">
        <v>131</v>
      </c>
      <c r="G123" s="9">
        <v>5</v>
      </c>
      <c r="H123" s="11">
        <v>0</v>
      </c>
      <c r="I123" s="9" t="s">
        <v>126</v>
      </c>
      <c r="J123" t="str">
        <f>PROPER(TRIM(F123))</f>
        <v>Reena Joshi</v>
      </c>
      <c r="K123" t="str">
        <f>PROPER(TRIM(E123))</f>
        <v>South</v>
      </c>
      <c r="L123" t="str">
        <f>TRIM(D123)</f>
        <v>P107</v>
      </c>
      <c r="M123" t="str">
        <f>IFERROR(VLOOKUP(L123,Products!$A$2:$D$21,2,FALSE),"Unknown Product")</f>
        <v>Standing Desk</v>
      </c>
      <c r="N123" t="str">
        <f>IFERROR(VLOOKUP(L123,Products!$A$2:$D$21,3,0),"Unknown ")</f>
        <v>Furniture</v>
      </c>
      <c r="O123">
        <f>IFERROR(VLOOKUP(L123,Products!$A$2:$D$21,4,0),0)</f>
        <v>18000</v>
      </c>
      <c r="P123" t="str">
        <f>IFERROR(INDEX(Customers!$C$2:$C$41,MATCH(C123,Customers!$A$2:$A$41,0)),"Unknown City")</f>
        <v>Bengaluru</v>
      </c>
      <c r="Q123" s="22">
        <f>G123*O123*(1-H123)</f>
        <v>90000</v>
      </c>
      <c r="R123" t="str">
        <f t="shared" si="1"/>
        <v>Dec-2024</v>
      </c>
      <c r="S123" t="str">
        <f>IF(Q123&gt;=50000,"Large",IF(Q123&gt;=20000,"Medium","Small"))</f>
        <v>Large</v>
      </c>
      <c r="T123">
        <f>VLOOKUP(Q123,Commission!$A$2:$B$6,2,TRUE)</f>
        <v>0.05</v>
      </c>
      <c r="U123">
        <f>Q123*T123</f>
        <v>4500</v>
      </c>
      <c r="V123" t="str">
        <f>IF(AND(I123="Pending",Q123&gt;20000),"Follow Up","OK")</f>
        <v>OK</v>
      </c>
      <c r="W123" t="str">
        <f>_xlfn.XLOOKUP(C123,Customers!$A$2:$A$41,Customers!$D$2:$D$41)</f>
        <v>Home Office</v>
      </c>
    </row>
    <row r="124" spans="1:23" x14ac:dyDescent="0.3">
      <c r="A124" s="9" t="s">
        <v>381</v>
      </c>
      <c r="B124" s="10">
        <v>45481</v>
      </c>
      <c r="C124" s="9" t="s">
        <v>128</v>
      </c>
      <c r="D124" s="9" t="s">
        <v>209</v>
      </c>
      <c r="E124" s="9" t="s">
        <v>130</v>
      </c>
      <c r="F124" s="9" t="s">
        <v>160</v>
      </c>
      <c r="G124" s="9">
        <v>5</v>
      </c>
      <c r="H124" s="11">
        <v>0</v>
      </c>
      <c r="I124" s="9" t="s">
        <v>145</v>
      </c>
      <c r="J124" t="str">
        <f>PROPER(TRIM(F124))</f>
        <v>Latha Menon</v>
      </c>
      <c r="K124" t="str">
        <f>PROPER(TRIM(E124))</f>
        <v>South</v>
      </c>
      <c r="L124" t="str">
        <f>TRIM(D124)</f>
        <v>P106</v>
      </c>
      <c r="M124" t="str">
        <f>IFERROR(VLOOKUP(L124,Products!$A$2:$D$21,2,FALSE),"Unknown Product")</f>
        <v>Office Chair</v>
      </c>
      <c r="N124" t="str">
        <f>IFERROR(VLOOKUP(L124,Products!$A$2:$D$21,3,0),"Unknown ")</f>
        <v>Furniture</v>
      </c>
      <c r="O124">
        <f>IFERROR(VLOOKUP(L124,Products!$A$2:$D$21,4,0),0)</f>
        <v>7500</v>
      </c>
      <c r="P124" t="str">
        <f>IFERROR(INDEX(Customers!$C$2:$C$41,MATCH(C124,Customers!$A$2:$A$41,0)),"Unknown City")</f>
        <v>Delhi</v>
      </c>
      <c r="Q124" s="22">
        <f>G124*O124*(1-H124)</f>
        <v>37500</v>
      </c>
      <c r="R124" t="str">
        <f t="shared" si="1"/>
        <v>Jul-2024</v>
      </c>
      <c r="S124" t="str">
        <f>IF(Q124&gt;=50000,"Large",IF(Q124&gt;=20000,"Medium","Small"))</f>
        <v>Medium</v>
      </c>
      <c r="T124">
        <f>VLOOKUP(Q124,Commission!$A$2:$B$6,2,TRUE)</f>
        <v>0.04</v>
      </c>
      <c r="U124">
        <f>Q124*T124</f>
        <v>1500</v>
      </c>
      <c r="V124" t="str">
        <f>IF(AND(I124="Pending",Q124&gt;20000),"Follow Up","OK")</f>
        <v>OK</v>
      </c>
      <c r="W124" t="str">
        <f>_xlfn.XLOOKUP(C124,Customers!$A$2:$A$41,Customers!$D$2:$D$41)</f>
        <v>Consumer</v>
      </c>
    </row>
    <row r="125" spans="1:23" x14ac:dyDescent="0.3">
      <c r="A125" s="9" t="s">
        <v>252</v>
      </c>
      <c r="B125" s="10">
        <v>45544</v>
      </c>
      <c r="C125" s="9" t="s">
        <v>167</v>
      </c>
      <c r="D125" s="9" t="s">
        <v>143</v>
      </c>
      <c r="E125" s="9" t="s">
        <v>130</v>
      </c>
      <c r="F125" s="9" t="s">
        <v>164</v>
      </c>
      <c r="G125" s="9">
        <v>5</v>
      </c>
      <c r="H125" s="11">
        <v>0.15</v>
      </c>
      <c r="I125" s="9" t="s">
        <v>126</v>
      </c>
      <c r="J125" t="str">
        <f>PROPER(TRIM(F125))</f>
        <v>Amit Verma</v>
      </c>
      <c r="K125" t="str">
        <f>PROPER(TRIM(E125))</f>
        <v>South</v>
      </c>
      <c r="L125" t="str">
        <f>TRIM(D125)</f>
        <v>P116</v>
      </c>
      <c r="M125" t="str">
        <f>IFERROR(VLOOKUP(L125,Products!$A$2:$D$21,2,FALSE),"Unknown Product")</f>
        <v>Sneakers</v>
      </c>
      <c r="N125" t="str">
        <f>IFERROR(VLOOKUP(L125,Products!$A$2:$D$21,3,0),"Unknown ")</f>
        <v>Clothing</v>
      </c>
      <c r="O125">
        <f>IFERROR(VLOOKUP(L125,Products!$A$2:$D$21,4,0),0)</f>
        <v>4500</v>
      </c>
      <c r="P125" t="str">
        <f>IFERROR(INDEX(Customers!$C$2:$C$41,MATCH(C125,Customers!$A$2:$A$41,0)),"Unknown City")</f>
        <v>Bengaluru</v>
      </c>
      <c r="Q125" s="22">
        <f>G125*O125*(1-H125)</f>
        <v>19125</v>
      </c>
      <c r="R125" t="str">
        <f t="shared" si="1"/>
        <v>Sep-2024</v>
      </c>
      <c r="S125" t="str">
        <f>IF(Q125&gt;=50000,"Large",IF(Q125&gt;=20000,"Medium","Small"))</f>
        <v>Small</v>
      </c>
      <c r="T125">
        <f>VLOOKUP(Q125,Commission!$A$2:$B$6,2,TRUE)</f>
        <v>0.03</v>
      </c>
      <c r="U125">
        <f>Q125*T125</f>
        <v>573.75</v>
      </c>
      <c r="V125" t="str">
        <f>IF(AND(I125="Pending",Q125&gt;20000),"Follow Up","OK")</f>
        <v>OK</v>
      </c>
      <c r="W125" t="str">
        <f>_xlfn.XLOOKUP(C125,Customers!$A$2:$A$41,Customers!$D$2:$D$41)</f>
        <v>Consumer</v>
      </c>
    </row>
    <row r="126" spans="1:23" x14ac:dyDescent="0.3">
      <c r="A126" s="9" t="s">
        <v>359</v>
      </c>
      <c r="B126" s="10">
        <v>45298</v>
      </c>
      <c r="C126" s="9" t="s">
        <v>360</v>
      </c>
      <c r="D126" s="9" t="s">
        <v>182</v>
      </c>
      <c r="E126" s="9" t="s">
        <v>130</v>
      </c>
      <c r="F126" s="9" t="s">
        <v>135</v>
      </c>
      <c r="G126" s="9">
        <v>5</v>
      </c>
      <c r="H126" s="11">
        <v>0</v>
      </c>
      <c r="I126" s="9" t="s">
        <v>126</v>
      </c>
      <c r="J126" t="str">
        <f>PROPER(TRIM(F126))</f>
        <v>Manoj Das</v>
      </c>
      <c r="K126" t="str">
        <f>PROPER(TRIM(E126))</f>
        <v>South</v>
      </c>
      <c r="L126" t="str">
        <f>TRIM(D126)</f>
        <v>P119</v>
      </c>
      <c r="M126" t="str">
        <f>IFERROR(VLOOKUP(L126,Products!$A$2:$D$21,2,FALSE),"Unknown Product")</f>
        <v>Notebook Set</v>
      </c>
      <c r="N126" t="str">
        <f>IFERROR(VLOOKUP(L126,Products!$A$2:$D$21,3,0),"Unknown ")</f>
        <v>Stationery</v>
      </c>
      <c r="O126">
        <f>IFERROR(VLOOKUP(L126,Products!$A$2:$D$21,4,0),0)</f>
        <v>450</v>
      </c>
      <c r="P126" t="str">
        <f>IFERROR(INDEX(Customers!$C$2:$C$41,MATCH(C126,Customers!$A$2:$A$41,0)),"Unknown City")</f>
        <v>Kolkata</v>
      </c>
      <c r="Q126" s="22">
        <f>G126*O126*(1-H126)</f>
        <v>2250</v>
      </c>
      <c r="R126" t="str">
        <f t="shared" si="1"/>
        <v>Jan-2024</v>
      </c>
      <c r="S126" t="str">
        <f>IF(Q126&gt;=50000,"Large",IF(Q126&gt;=20000,"Medium","Small"))</f>
        <v>Small</v>
      </c>
      <c r="T126">
        <f>VLOOKUP(Q126,Commission!$A$2:$B$6,2,TRUE)</f>
        <v>0.02</v>
      </c>
      <c r="U126">
        <f>Q126*T126</f>
        <v>45</v>
      </c>
      <c r="V126" t="str">
        <f>IF(AND(I126="Pending",Q126&gt;20000),"Follow Up","OK")</f>
        <v>OK</v>
      </c>
      <c r="W126" t="str">
        <f>_xlfn.XLOOKUP(C126,Customers!$A$2:$A$41,Customers!$D$2:$D$41)</f>
        <v>Corporate</v>
      </c>
    </row>
    <row r="127" spans="1:23" x14ac:dyDescent="0.3">
      <c r="A127" s="9" t="s">
        <v>201</v>
      </c>
      <c r="B127" s="10">
        <v>45576</v>
      </c>
      <c r="C127" s="9" t="s">
        <v>202</v>
      </c>
      <c r="D127" s="9" t="s">
        <v>159</v>
      </c>
      <c r="E127" s="9" t="s">
        <v>130</v>
      </c>
      <c r="F127" s="9" t="s">
        <v>160</v>
      </c>
      <c r="G127" s="9">
        <v>5</v>
      </c>
      <c r="H127" s="11">
        <v>0.1</v>
      </c>
      <c r="I127" s="9" t="s">
        <v>126</v>
      </c>
      <c r="J127" t="str">
        <f>PROPER(TRIM(F127))</f>
        <v>Latha Menon</v>
      </c>
      <c r="K127" t="str">
        <f>PROPER(TRIM(E127))</f>
        <v>South</v>
      </c>
      <c r="L127" t="str">
        <f>TRIM(D127)</f>
        <v>P111</v>
      </c>
      <c r="M127" t="str">
        <f>IFERROR(VLOOKUP(L127,Products!$A$2:$D$21,2,FALSE),"Unknown Product")</f>
        <v>Green Tea</v>
      </c>
      <c r="N127" t="str">
        <f>IFERROR(VLOOKUP(L127,Products!$A$2:$D$21,3,0),"Unknown ")</f>
        <v>Grocery</v>
      </c>
      <c r="O127">
        <f>IFERROR(VLOOKUP(L127,Products!$A$2:$D$21,4,0),0)</f>
        <v>420</v>
      </c>
      <c r="P127" t="str">
        <f>IFERROR(INDEX(Customers!$C$2:$C$41,MATCH(C127,Customers!$A$2:$A$41,0)),"Unknown City")</f>
        <v>Chennai</v>
      </c>
      <c r="Q127" s="22">
        <f>G127*O127*(1-H127)</f>
        <v>1890</v>
      </c>
      <c r="R127" t="str">
        <f t="shared" si="1"/>
        <v>Oct-2024</v>
      </c>
      <c r="S127" t="str">
        <f>IF(Q127&gt;=50000,"Large",IF(Q127&gt;=20000,"Medium","Small"))</f>
        <v>Small</v>
      </c>
      <c r="T127">
        <f>VLOOKUP(Q127,Commission!$A$2:$B$6,2,TRUE)</f>
        <v>0.02</v>
      </c>
      <c r="U127">
        <f>Q127*T127</f>
        <v>37.800000000000004</v>
      </c>
      <c r="V127" t="str">
        <f>IF(AND(I127="Pending",Q127&gt;20000),"Follow Up","OK")</f>
        <v>OK</v>
      </c>
      <c r="W127" t="str">
        <f>_xlfn.XLOOKUP(C127,Customers!$A$2:$A$41,Customers!$D$2:$D$41)</f>
        <v>Consumer</v>
      </c>
    </row>
    <row r="128" spans="1:23" x14ac:dyDescent="0.3">
      <c r="A128" s="9" t="s">
        <v>260</v>
      </c>
      <c r="B128" s="10">
        <v>45346</v>
      </c>
      <c r="C128" s="9" t="s">
        <v>156</v>
      </c>
      <c r="D128" s="9" t="s">
        <v>261</v>
      </c>
      <c r="E128" s="9" t="s">
        <v>262</v>
      </c>
      <c r="F128" s="9" t="s">
        <v>154</v>
      </c>
      <c r="G128" s="9">
        <v>4</v>
      </c>
      <c r="H128" s="11">
        <v>0.1</v>
      </c>
      <c r="I128" s="9" t="s">
        <v>126</v>
      </c>
      <c r="J128" t="str">
        <f>PROPER(TRIM(F128))</f>
        <v>Kiran Shah</v>
      </c>
      <c r="K128" t="str">
        <f>PROPER(TRIM(E128))</f>
        <v>South</v>
      </c>
      <c r="L128" t="str">
        <f>TRIM(D128)</f>
        <v>P109</v>
      </c>
      <c r="M128" t="str">
        <f>IFERROR(VLOOKUP(L128,Products!$A$2:$D$21,2,FALSE),"Unknown Product")</f>
        <v>Sofa Set</v>
      </c>
      <c r="N128" t="str">
        <f>IFERROR(VLOOKUP(L128,Products!$A$2:$D$21,3,0),"Unknown ")</f>
        <v>Furniture</v>
      </c>
      <c r="O128">
        <f>IFERROR(VLOOKUP(L128,Products!$A$2:$D$21,4,0),0)</f>
        <v>42000</v>
      </c>
      <c r="P128" t="str">
        <f>IFERROR(INDEX(Customers!$C$2:$C$41,MATCH(C128,Customers!$A$2:$A$41,0)),"Unknown City")</f>
        <v>Hyderabad</v>
      </c>
      <c r="Q128" s="22">
        <f>G128*O128*(1-H128)</f>
        <v>151200</v>
      </c>
      <c r="R128" t="str">
        <f t="shared" si="1"/>
        <v>Feb-2024</v>
      </c>
      <c r="S128" t="str">
        <f>IF(Q128&gt;=50000,"Large",IF(Q128&gt;=20000,"Medium","Small"))</f>
        <v>Large</v>
      </c>
      <c r="T128">
        <f>VLOOKUP(Q128,Commission!$A$2:$B$6,2,TRUE)</f>
        <v>0.06</v>
      </c>
      <c r="U128">
        <f>Q128*T128</f>
        <v>9072</v>
      </c>
      <c r="V128" t="str">
        <f>IF(AND(I128="Pending",Q128&gt;20000),"Follow Up","OK")</f>
        <v>OK</v>
      </c>
      <c r="W128" t="str">
        <f>_xlfn.XLOOKUP(C128,Customers!$A$2:$A$41,Customers!$D$2:$D$41)</f>
        <v>Consumer</v>
      </c>
    </row>
    <row r="129" spans="1:23" x14ac:dyDescent="0.3">
      <c r="A129" s="9" t="s">
        <v>345</v>
      </c>
      <c r="B129" s="10">
        <v>45616</v>
      </c>
      <c r="C129" s="9" t="s">
        <v>230</v>
      </c>
      <c r="D129" s="9" t="s">
        <v>275</v>
      </c>
      <c r="E129" s="9" t="s">
        <v>130</v>
      </c>
      <c r="F129" s="9" t="s">
        <v>206</v>
      </c>
      <c r="G129" s="9">
        <v>4</v>
      </c>
      <c r="H129" s="11">
        <v>0.05</v>
      </c>
      <c r="I129" s="9" t="s">
        <v>126</v>
      </c>
      <c r="J129" t="str">
        <f>PROPER(TRIM(F129))</f>
        <v>Sunita Rao</v>
      </c>
      <c r="K129" t="str">
        <f>PROPER(TRIM(E129))</f>
        <v>South</v>
      </c>
      <c r="L129" t="str">
        <f>TRIM(D129)</f>
        <v>P102</v>
      </c>
      <c r="M129" t="str">
        <f>IFERROR(VLOOKUP(L129,Products!$A$2:$D$21,2,FALSE),"Unknown Product")</f>
        <v>Smartphone</v>
      </c>
      <c r="N129" t="str">
        <f>IFERROR(VLOOKUP(L129,Products!$A$2:$D$21,3,0),"Unknown ")</f>
        <v>Electronics</v>
      </c>
      <c r="O129">
        <f>IFERROR(VLOOKUP(L129,Products!$A$2:$D$21,4,0),0)</f>
        <v>28000</v>
      </c>
      <c r="P129" t="str">
        <f>IFERROR(INDEX(Customers!$C$2:$C$41,MATCH(C129,Customers!$A$2:$A$41,0)),"Unknown City")</f>
        <v>Hyderabad</v>
      </c>
      <c r="Q129" s="22">
        <f>G129*O129*(1-H129)</f>
        <v>106400</v>
      </c>
      <c r="R129" t="str">
        <f t="shared" si="1"/>
        <v>Nov-2024</v>
      </c>
      <c r="S129" t="str">
        <f>IF(Q129&gt;=50000,"Large",IF(Q129&gt;=20000,"Medium","Small"))</f>
        <v>Large</v>
      </c>
      <c r="T129">
        <f>VLOOKUP(Q129,Commission!$A$2:$B$6,2,TRUE)</f>
        <v>0.06</v>
      </c>
      <c r="U129">
        <f>Q129*T129</f>
        <v>6384</v>
      </c>
      <c r="V129" t="str">
        <f>IF(AND(I129="Pending",Q129&gt;20000),"Follow Up","OK")</f>
        <v>OK</v>
      </c>
      <c r="W129" t="str">
        <f>_xlfn.XLOOKUP(C129,Customers!$A$2:$A$41,Customers!$D$2:$D$41)</f>
        <v>Corporate</v>
      </c>
    </row>
    <row r="130" spans="1:23" x14ac:dyDescent="0.3">
      <c r="A130" s="9" t="s">
        <v>405</v>
      </c>
      <c r="B130" s="10">
        <v>45441</v>
      </c>
      <c r="C130" s="9" t="s">
        <v>128</v>
      </c>
      <c r="D130" s="9" t="s">
        <v>185</v>
      </c>
      <c r="E130" s="9" t="s">
        <v>130</v>
      </c>
      <c r="F130" s="9" t="s">
        <v>131</v>
      </c>
      <c r="G130" s="9">
        <v>4</v>
      </c>
      <c r="H130" s="11">
        <v>0</v>
      </c>
      <c r="I130" s="9" t="s">
        <v>126</v>
      </c>
      <c r="J130" t="str">
        <f>PROPER(TRIM(F130))</f>
        <v>Reena Joshi</v>
      </c>
      <c r="K130" t="str">
        <f>PROPER(TRIM(E130))</f>
        <v>South</v>
      </c>
      <c r="L130" t="str">
        <f>TRIM(D130)</f>
        <v>P103</v>
      </c>
      <c r="M130" t="str">
        <f>IFERROR(VLOOKUP(L130,Products!$A$2:$D$21,2,FALSE),"Unknown Product")</f>
        <v>Headphones</v>
      </c>
      <c r="N130" t="str">
        <f>IFERROR(VLOOKUP(L130,Products!$A$2:$D$21,3,0),"Unknown ")</f>
        <v>Electronics</v>
      </c>
      <c r="O130">
        <f>IFERROR(VLOOKUP(L130,Products!$A$2:$D$21,4,0),0)</f>
        <v>3500</v>
      </c>
      <c r="P130" t="str">
        <f>IFERROR(INDEX(Customers!$C$2:$C$41,MATCH(C130,Customers!$A$2:$A$41,0)),"Unknown City")</f>
        <v>Delhi</v>
      </c>
      <c r="Q130" s="22">
        <f>G130*O130*(1-H130)</f>
        <v>14000</v>
      </c>
      <c r="R130" t="str">
        <f t="shared" si="1"/>
        <v>May-2024</v>
      </c>
      <c r="S130" t="str">
        <f>IF(Q130&gt;=50000,"Large",IF(Q130&gt;=20000,"Medium","Small"))</f>
        <v>Small</v>
      </c>
      <c r="T130">
        <f>VLOOKUP(Q130,Commission!$A$2:$B$6,2,TRUE)</f>
        <v>0.03</v>
      </c>
      <c r="U130">
        <f>Q130*T130</f>
        <v>420</v>
      </c>
      <c r="V130" t="str">
        <f>IF(AND(I130="Pending",Q130&gt;20000),"Follow Up","OK")</f>
        <v>OK</v>
      </c>
      <c r="W130" t="str">
        <f>_xlfn.XLOOKUP(C130,Customers!$A$2:$A$41,Customers!$D$2:$D$41)</f>
        <v>Consumer</v>
      </c>
    </row>
    <row r="131" spans="1:23" x14ac:dyDescent="0.3">
      <c r="A131" s="9" t="s">
        <v>127</v>
      </c>
      <c r="B131" s="10">
        <v>45301</v>
      </c>
      <c r="C131" s="9" t="s">
        <v>128</v>
      </c>
      <c r="D131" s="9" t="s">
        <v>129</v>
      </c>
      <c r="E131" s="9" t="s">
        <v>130</v>
      </c>
      <c r="F131" s="9" t="s">
        <v>131</v>
      </c>
      <c r="G131" s="9">
        <v>4</v>
      </c>
      <c r="H131" s="11">
        <v>0.05</v>
      </c>
      <c r="I131" s="9" t="s">
        <v>126</v>
      </c>
      <c r="J131" t="str">
        <f>PROPER(TRIM(F131))</f>
        <v>Reena Joshi</v>
      </c>
      <c r="K131" t="str">
        <f>PROPER(TRIM(E131))</f>
        <v>South</v>
      </c>
      <c r="L131" t="str">
        <f>TRIM(D131)</f>
        <v>P118</v>
      </c>
      <c r="M131" t="str">
        <f>IFERROR(VLOOKUP(L131,Products!$A$2:$D$21,2,FALSE),"Unknown Product")</f>
        <v>Jeans</v>
      </c>
      <c r="N131" t="str">
        <f>IFERROR(VLOOKUP(L131,Products!$A$2:$D$21,3,0),"Unknown ")</f>
        <v>Clothing</v>
      </c>
      <c r="O131">
        <f>IFERROR(VLOOKUP(L131,Products!$A$2:$D$21,4,0),0)</f>
        <v>2800</v>
      </c>
      <c r="P131" t="str">
        <f>IFERROR(INDEX(Customers!$C$2:$C$41,MATCH(C131,Customers!$A$2:$A$41,0)),"Unknown City")</f>
        <v>Delhi</v>
      </c>
      <c r="Q131" s="22">
        <f>G131*O131*(1-H131)</f>
        <v>10640</v>
      </c>
      <c r="R131" t="str">
        <f t="shared" ref="R131:R194" si="2">TEXT(B131,"mmm-yyyy")</f>
        <v>Jan-2024</v>
      </c>
      <c r="S131" t="str">
        <f>IF(Q131&gt;=50000,"Large",IF(Q131&gt;=20000,"Medium","Small"))</f>
        <v>Small</v>
      </c>
      <c r="T131">
        <f>VLOOKUP(Q131,Commission!$A$2:$B$6,2,TRUE)</f>
        <v>0.03</v>
      </c>
      <c r="U131">
        <f>Q131*T131</f>
        <v>319.2</v>
      </c>
      <c r="V131" t="str">
        <f>IF(AND(I131="Pending",Q131&gt;20000),"Follow Up","OK")</f>
        <v>OK</v>
      </c>
      <c r="W131" t="str">
        <f>_xlfn.XLOOKUP(C131,Customers!$A$2:$A$41,Customers!$D$2:$D$41)</f>
        <v>Consumer</v>
      </c>
    </row>
    <row r="132" spans="1:23" x14ac:dyDescent="0.3">
      <c r="A132" s="9" t="s">
        <v>277</v>
      </c>
      <c r="B132" s="10">
        <v>45428</v>
      </c>
      <c r="C132" s="9" t="s">
        <v>251</v>
      </c>
      <c r="D132" s="9" t="s">
        <v>278</v>
      </c>
      <c r="E132" s="9" t="s">
        <v>139</v>
      </c>
      <c r="F132" s="9" t="s">
        <v>154</v>
      </c>
      <c r="G132" s="9">
        <v>4</v>
      </c>
      <c r="H132" s="11">
        <v>0.15</v>
      </c>
      <c r="I132" s="9" t="s">
        <v>126</v>
      </c>
      <c r="J132" t="str">
        <f>PROPER(TRIM(F132))</f>
        <v>Kiran Shah</v>
      </c>
      <c r="K132" t="str">
        <f>PROPER(TRIM(E132))</f>
        <v>South</v>
      </c>
      <c r="L132" t="str">
        <f>TRIM(D132)</f>
        <v>P120</v>
      </c>
      <c r="M132" t="str">
        <f>IFERROR(VLOOKUP(L132,Products!$A$2:$D$21,2,FALSE),"Unknown Product")</f>
        <v>Printer Paper</v>
      </c>
      <c r="N132" t="str">
        <f>IFERROR(VLOOKUP(L132,Products!$A$2:$D$21,3,0),"Unknown ")</f>
        <v>Stationery</v>
      </c>
      <c r="O132">
        <f>IFERROR(VLOOKUP(L132,Products!$A$2:$D$21,4,0),0)</f>
        <v>620</v>
      </c>
      <c r="P132" t="str">
        <f>IFERROR(INDEX(Customers!$C$2:$C$41,MATCH(C132,Customers!$A$2:$A$41,0)),"Unknown City")</f>
        <v>Bengaluru</v>
      </c>
      <c r="Q132" s="22">
        <f>G132*O132*(1-H132)</f>
        <v>2108</v>
      </c>
      <c r="R132" t="str">
        <f t="shared" si="2"/>
        <v>May-2024</v>
      </c>
      <c r="S132" t="str">
        <f>IF(Q132&gt;=50000,"Large",IF(Q132&gt;=20000,"Medium","Small"))</f>
        <v>Small</v>
      </c>
      <c r="T132">
        <f>VLOOKUP(Q132,Commission!$A$2:$B$6,2,TRUE)</f>
        <v>0.02</v>
      </c>
      <c r="U132">
        <f>Q132*T132</f>
        <v>42.160000000000004</v>
      </c>
      <c r="V132" t="str">
        <f>IF(AND(I132="Pending",Q132&gt;20000),"Follow Up","OK")</f>
        <v>OK</v>
      </c>
      <c r="W132" t="str">
        <f>_xlfn.XLOOKUP(C132,Customers!$A$2:$A$41,Customers!$D$2:$D$41)</f>
        <v>Home Office</v>
      </c>
    </row>
    <row r="133" spans="1:23" x14ac:dyDescent="0.3">
      <c r="A133" s="9" t="s">
        <v>217</v>
      </c>
      <c r="B133" s="10">
        <v>45344</v>
      </c>
      <c r="C133" s="9" t="s">
        <v>218</v>
      </c>
      <c r="D133" s="9" t="s">
        <v>219</v>
      </c>
      <c r="E133" s="9" t="s">
        <v>130</v>
      </c>
      <c r="F133" s="9" t="s">
        <v>157</v>
      </c>
      <c r="G133" s="9">
        <v>3</v>
      </c>
      <c r="H133" s="11">
        <v>0</v>
      </c>
      <c r="I133" s="9" t="s">
        <v>126</v>
      </c>
      <c r="J133" t="str">
        <f>PROPER(TRIM(F133))</f>
        <v>Faisal Khan</v>
      </c>
      <c r="K133" t="str">
        <f>PROPER(TRIM(E133))</f>
        <v>South</v>
      </c>
      <c r="L133" t="str">
        <f>TRIM(D133)</f>
        <v>P104</v>
      </c>
      <c r="M133" t="str">
        <f>IFERROR(VLOOKUP(L133,Products!$A$2:$D$21,2,FALSE),"Unknown Product")</f>
        <v>Tablet</v>
      </c>
      <c r="N133" t="str">
        <f>IFERROR(VLOOKUP(L133,Products!$A$2:$D$21,3,0),"Unknown ")</f>
        <v>Electronics</v>
      </c>
      <c r="O133">
        <f>IFERROR(VLOOKUP(L133,Products!$A$2:$D$21,4,0),0)</f>
        <v>32000</v>
      </c>
      <c r="P133" t="str">
        <f>IFERROR(INDEX(Customers!$C$2:$C$41,MATCH(C133,Customers!$A$2:$A$41,0)),"Unknown City")</f>
        <v>Mumbai</v>
      </c>
      <c r="Q133" s="22">
        <f>G133*O133*(1-H133)</f>
        <v>96000</v>
      </c>
      <c r="R133" t="str">
        <f t="shared" si="2"/>
        <v>Feb-2024</v>
      </c>
      <c r="S133" t="str">
        <f>IF(Q133&gt;=50000,"Large",IF(Q133&gt;=20000,"Medium","Small"))</f>
        <v>Large</v>
      </c>
      <c r="T133">
        <f>VLOOKUP(Q133,Commission!$A$2:$B$6,2,TRUE)</f>
        <v>0.05</v>
      </c>
      <c r="U133">
        <f>Q133*T133</f>
        <v>4800</v>
      </c>
      <c r="V133" t="str">
        <f>IF(AND(I133="Pending",Q133&gt;20000),"Follow Up","OK")</f>
        <v>OK</v>
      </c>
      <c r="W133" t="str">
        <f>_xlfn.XLOOKUP(C133,Customers!$A$2:$A$41,Customers!$D$2:$D$41)</f>
        <v>Home Office</v>
      </c>
    </row>
    <row r="134" spans="1:23" x14ac:dyDescent="0.3">
      <c r="A134" s="9" t="s">
        <v>377</v>
      </c>
      <c r="B134" s="10">
        <v>45400</v>
      </c>
      <c r="C134" s="9" t="s">
        <v>251</v>
      </c>
      <c r="D134" s="9" t="s">
        <v>219</v>
      </c>
      <c r="E134" s="9" t="s">
        <v>130</v>
      </c>
      <c r="F134" s="9" t="s">
        <v>160</v>
      </c>
      <c r="G134" s="9">
        <v>3</v>
      </c>
      <c r="H134" s="11">
        <v>0</v>
      </c>
      <c r="I134" s="9" t="s">
        <v>126</v>
      </c>
      <c r="J134" t="str">
        <f>PROPER(TRIM(F134))</f>
        <v>Latha Menon</v>
      </c>
      <c r="K134" t="str">
        <f>PROPER(TRIM(E134))</f>
        <v>South</v>
      </c>
      <c r="L134" t="str">
        <f>TRIM(D134)</f>
        <v>P104</v>
      </c>
      <c r="M134" t="str">
        <f>IFERROR(VLOOKUP(L134,Products!$A$2:$D$21,2,FALSE),"Unknown Product")</f>
        <v>Tablet</v>
      </c>
      <c r="N134" t="str">
        <f>IFERROR(VLOOKUP(L134,Products!$A$2:$D$21,3,0),"Unknown ")</f>
        <v>Electronics</v>
      </c>
      <c r="O134">
        <f>IFERROR(VLOOKUP(L134,Products!$A$2:$D$21,4,0),0)</f>
        <v>32000</v>
      </c>
      <c r="P134" t="str">
        <f>IFERROR(INDEX(Customers!$C$2:$C$41,MATCH(C134,Customers!$A$2:$A$41,0)),"Unknown City")</f>
        <v>Bengaluru</v>
      </c>
      <c r="Q134" s="22">
        <f>G134*O134*(1-H134)</f>
        <v>96000</v>
      </c>
      <c r="R134" t="str">
        <f t="shared" si="2"/>
        <v>Apr-2024</v>
      </c>
      <c r="S134" t="str">
        <f>IF(Q134&gt;=50000,"Large",IF(Q134&gt;=20000,"Medium","Small"))</f>
        <v>Large</v>
      </c>
      <c r="T134">
        <f>VLOOKUP(Q134,Commission!$A$2:$B$6,2,TRUE)</f>
        <v>0.05</v>
      </c>
      <c r="U134">
        <f>Q134*T134</f>
        <v>4800</v>
      </c>
      <c r="V134" t="str">
        <f>IF(AND(I134="Pending",Q134&gt;20000),"Follow Up","OK")</f>
        <v>OK</v>
      </c>
      <c r="W134" t="str">
        <f>_xlfn.XLOOKUP(C134,Customers!$A$2:$A$41,Customers!$D$2:$D$41)</f>
        <v>Home Office</v>
      </c>
    </row>
    <row r="135" spans="1:23" x14ac:dyDescent="0.3">
      <c r="A135" s="9" t="s">
        <v>317</v>
      </c>
      <c r="B135" s="10">
        <v>45610</v>
      </c>
      <c r="C135" s="9" t="s">
        <v>167</v>
      </c>
      <c r="D135" s="9" t="s">
        <v>275</v>
      </c>
      <c r="E135" s="9" t="s">
        <v>130</v>
      </c>
      <c r="F135" s="9" t="s">
        <v>206</v>
      </c>
      <c r="G135" s="9">
        <v>3</v>
      </c>
      <c r="H135" s="11">
        <v>0</v>
      </c>
      <c r="I135" s="9" t="s">
        <v>126</v>
      </c>
      <c r="J135" t="str">
        <f>PROPER(TRIM(F135))</f>
        <v>Sunita Rao</v>
      </c>
      <c r="K135" t="str">
        <f>PROPER(TRIM(E135))</f>
        <v>South</v>
      </c>
      <c r="L135" t="str">
        <f>TRIM(D135)</f>
        <v>P102</v>
      </c>
      <c r="M135" t="str">
        <f>IFERROR(VLOOKUP(L135,Products!$A$2:$D$21,2,FALSE),"Unknown Product")</f>
        <v>Smartphone</v>
      </c>
      <c r="N135" t="str">
        <f>IFERROR(VLOOKUP(L135,Products!$A$2:$D$21,3,0),"Unknown ")</f>
        <v>Electronics</v>
      </c>
      <c r="O135">
        <f>IFERROR(VLOOKUP(L135,Products!$A$2:$D$21,4,0),0)</f>
        <v>28000</v>
      </c>
      <c r="P135" t="str">
        <f>IFERROR(INDEX(Customers!$C$2:$C$41,MATCH(C135,Customers!$A$2:$A$41,0)),"Unknown City")</f>
        <v>Bengaluru</v>
      </c>
      <c r="Q135" s="22">
        <f>G135*O135*(1-H135)</f>
        <v>84000</v>
      </c>
      <c r="R135" t="str">
        <f t="shared" si="2"/>
        <v>Nov-2024</v>
      </c>
      <c r="S135" t="str">
        <f>IF(Q135&gt;=50000,"Large",IF(Q135&gt;=20000,"Medium","Small"))</f>
        <v>Large</v>
      </c>
      <c r="T135">
        <f>VLOOKUP(Q135,Commission!$A$2:$B$6,2,TRUE)</f>
        <v>0.05</v>
      </c>
      <c r="U135">
        <f>Q135*T135</f>
        <v>4200</v>
      </c>
      <c r="V135" t="str">
        <f>IF(AND(I135="Pending",Q135&gt;20000),"Follow Up","OK")</f>
        <v>OK</v>
      </c>
      <c r="W135" t="str">
        <f>_xlfn.XLOOKUP(C135,Customers!$A$2:$A$41,Customers!$D$2:$D$41)</f>
        <v>Consumer</v>
      </c>
    </row>
    <row r="136" spans="1:23" x14ac:dyDescent="0.3">
      <c r="A136" s="9" t="s">
        <v>332</v>
      </c>
      <c r="B136" s="10">
        <v>45529</v>
      </c>
      <c r="C136" s="9" t="s">
        <v>230</v>
      </c>
      <c r="D136" s="9" t="s">
        <v>333</v>
      </c>
      <c r="E136" s="9" t="s">
        <v>130</v>
      </c>
      <c r="F136" s="9" t="s">
        <v>154</v>
      </c>
      <c r="G136" s="9">
        <v>3</v>
      </c>
      <c r="H136" s="11">
        <v>0</v>
      </c>
      <c r="I136" s="9" t="s">
        <v>126</v>
      </c>
      <c r="J136" t="str">
        <f>PROPER(TRIM(F136))</f>
        <v>Kiran Shah</v>
      </c>
      <c r="K136" t="str">
        <f>PROPER(TRIM(E136))</f>
        <v>South</v>
      </c>
      <c r="L136" t="str">
        <f>TRIM(D136)</f>
        <v>P103</v>
      </c>
      <c r="M136" t="str">
        <f>IFERROR(VLOOKUP(L136,Products!$A$2:$D$21,2,FALSE),"Unknown Product")</f>
        <v>Headphones</v>
      </c>
      <c r="N136" t="str">
        <f>IFERROR(VLOOKUP(L136,Products!$A$2:$D$21,3,0),"Unknown ")</f>
        <v>Electronics</v>
      </c>
      <c r="O136">
        <f>IFERROR(VLOOKUP(L136,Products!$A$2:$D$21,4,0),0)</f>
        <v>3500</v>
      </c>
      <c r="P136" t="str">
        <f>IFERROR(INDEX(Customers!$C$2:$C$41,MATCH(C136,Customers!$A$2:$A$41,0)),"Unknown City")</f>
        <v>Hyderabad</v>
      </c>
      <c r="Q136" s="22">
        <f>G136*O136*(1-H136)</f>
        <v>10500</v>
      </c>
      <c r="R136" t="str">
        <f t="shared" si="2"/>
        <v>Aug-2024</v>
      </c>
      <c r="S136" t="str">
        <f>IF(Q136&gt;=50000,"Large",IF(Q136&gt;=20000,"Medium","Small"))</f>
        <v>Small</v>
      </c>
      <c r="T136">
        <f>VLOOKUP(Q136,Commission!$A$2:$B$6,2,TRUE)</f>
        <v>0.03</v>
      </c>
      <c r="U136">
        <f>Q136*T136</f>
        <v>315</v>
      </c>
      <c r="V136" t="str">
        <f>IF(AND(I136="Pending",Q136&gt;20000),"Follow Up","OK")</f>
        <v>OK</v>
      </c>
      <c r="W136" t="str">
        <f>_xlfn.XLOOKUP(C136,Customers!$A$2:$A$41,Customers!$D$2:$D$41)</f>
        <v>Corporate</v>
      </c>
    </row>
    <row r="137" spans="1:23" x14ac:dyDescent="0.3">
      <c r="A137" s="9" t="s">
        <v>283</v>
      </c>
      <c r="B137" s="10">
        <v>45444</v>
      </c>
      <c r="C137" s="9" t="s">
        <v>169</v>
      </c>
      <c r="D137" s="9" t="s">
        <v>261</v>
      </c>
      <c r="E137" s="9" t="s">
        <v>130</v>
      </c>
      <c r="F137" s="9" t="s">
        <v>206</v>
      </c>
      <c r="G137" s="9">
        <v>2</v>
      </c>
      <c r="H137" s="11">
        <v>0</v>
      </c>
      <c r="I137" s="9" t="s">
        <v>126</v>
      </c>
      <c r="J137" t="str">
        <f>PROPER(TRIM(F137))</f>
        <v>Sunita Rao</v>
      </c>
      <c r="K137" t="str">
        <f>PROPER(TRIM(E137))</f>
        <v>South</v>
      </c>
      <c r="L137" t="str">
        <f>TRIM(D137)</f>
        <v>P109</v>
      </c>
      <c r="M137" t="str">
        <f>IFERROR(VLOOKUP(L137,Products!$A$2:$D$21,2,FALSE),"Unknown Product")</f>
        <v>Sofa Set</v>
      </c>
      <c r="N137" t="str">
        <f>IFERROR(VLOOKUP(L137,Products!$A$2:$D$21,3,0),"Unknown ")</f>
        <v>Furniture</v>
      </c>
      <c r="O137">
        <f>IFERROR(VLOOKUP(L137,Products!$A$2:$D$21,4,0),0)</f>
        <v>42000</v>
      </c>
      <c r="P137" t="str">
        <f>IFERROR(INDEX(Customers!$C$2:$C$41,MATCH(C137,Customers!$A$2:$A$41,0)),"Unknown City")</f>
        <v>Bengaluru</v>
      </c>
      <c r="Q137" s="22">
        <f>G137*O137*(1-H137)</f>
        <v>84000</v>
      </c>
      <c r="R137" t="str">
        <f t="shared" si="2"/>
        <v>Jun-2024</v>
      </c>
      <c r="S137" t="str">
        <f>IF(Q137&gt;=50000,"Large",IF(Q137&gt;=20000,"Medium","Small"))</f>
        <v>Large</v>
      </c>
      <c r="T137">
        <f>VLOOKUP(Q137,Commission!$A$2:$B$6,2,TRUE)</f>
        <v>0.05</v>
      </c>
      <c r="U137">
        <f>Q137*T137</f>
        <v>4200</v>
      </c>
      <c r="V137" t="str">
        <f>IF(AND(I137="Pending",Q137&gt;20000),"Follow Up","OK")</f>
        <v>OK</v>
      </c>
      <c r="W137" t="str">
        <f>_xlfn.XLOOKUP(C137,Customers!$A$2:$A$41,Customers!$D$2:$D$41)</f>
        <v>Consumer</v>
      </c>
    </row>
    <row r="138" spans="1:23" x14ac:dyDescent="0.3">
      <c r="A138" s="9" t="s">
        <v>310</v>
      </c>
      <c r="B138" s="10">
        <v>45530</v>
      </c>
      <c r="C138" s="9" t="s">
        <v>239</v>
      </c>
      <c r="D138" s="9" t="s">
        <v>219</v>
      </c>
      <c r="E138" s="9" t="s">
        <v>130</v>
      </c>
      <c r="F138" s="9" t="s">
        <v>135</v>
      </c>
      <c r="G138" s="9">
        <v>2</v>
      </c>
      <c r="H138" s="11">
        <v>0.05</v>
      </c>
      <c r="I138" s="9" t="s">
        <v>126</v>
      </c>
      <c r="J138" t="str">
        <f>PROPER(TRIM(F138))</f>
        <v>Manoj Das</v>
      </c>
      <c r="K138" t="str">
        <f>PROPER(TRIM(E138))</f>
        <v>South</v>
      </c>
      <c r="L138" t="str">
        <f>TRIM(D138)</f>
        <v>P104</v>
      </c>
      <c r="M138" t="str">
        <f>IFERROR(VLOOKUP(L138,Products!$A$2:$D$21,2,FALSE),"Unknown Product")</f>
        <v>Tablet</v>
      </c>
      <c r="N138" t="str">
        <f>IFERROR(VLOOKUP(L138,Products!$A$2:$D$21,3,0),"Unknown ")</f>
        <v>Electronics</v>
      </c>
      <c r="O138">
        <f>IFERROR(VLOOKUP(L138,Products!$A$2:$D$21,4,0),0)</f>
        <v>32000</v>
      </c>
      <c r="P138" t="str">
        <f>IFERROR(INDEX(Customers!$C$2:$C$41,MATCH(C138,Customers!$A$2:$A$41,0)),"Unknown City")</f>
        <v>Kolkata</v>
      </c>
      <c r="Q138" s="22">
        <f>G138*O138*(1-H138)</f>
        <v>60800</v>
      </c>
      <c r="R138" t="str">
        <f t="shared" si="2"/>
        <v>Aug-2024</v>
      </c>
      <c r="S138" t="str">
        <f>IF(Q138&gt;=50000,"Large",IF(Q138&gt;=20000,"Medium","Small"))</f>
        <v>Large</v>
      </c>
      <c r="T138">
        <f>VLOOKUP(Q138,Commission!$A$2:$B$6,2,TRUE)</f>
        <v>0.05</v>
      </c>
      <c r="U138">
        <f>Q138*T138</f>
        <v>3040</v>
      </c>
      <c r="V138" t="str">
        <f>IF(AND(I138="Pending",Q138&gt;20000),"Follow Up","OK")</f>
        <v>OK</v>
      </c>
      <c r="W138" t="str">
        <f>_xlfn.XLOOKUP(C138,Customers!$A$2:$A$41,Customers!$D$2:$D$41)</f>
        <v>Home Office</v>
      </c>
    </row>
    <row r="139" spans="1:23" x14ac:dyDescent="0.3">
      <c r="A139" s="9" t="s">
        <v>166</v>
      </c>
      <c r="B139" s="10">
        <v>45510</v>
      </c>
      <c r="C139" s="9" t="s">
        <v>167</v>
      </c>
      <c r="D139" s="9" t="s">
        <v>129</v>
      </c>
      <c r="E139" s="9" t="s">
        <v>130</v>
      </c>
      <c r="F139" s="9" t="s">
        <v>140</v>
      </c>
      <c r="G139" s="9">
        <v>2</v>
      </c>
      <c r="H139" s="11">
        <v>0</v>
      </c>
      <c r="I139" s="9" t="s">
        <v>126</v>
      </c>
      <c r="J139" t="str">
        <f>PROPER(TRIM(F139))</f>
        <v>Pooja Nair</v>
      </c>
      <c r="K139" t="str">
        <f>PROPER(TRIM(E139))</f>
        <v>South</v>
      </c>
      <c r="L139" t="str">
        <f>TRIM(D139)</f>
        <v>P118</v>
      </c>
      <c r="M139" t="str">
        <f>IFERROR(VLOOKUP(L139,Products!$A$2:$D$21,2,FALSE),"Unknown Product")</f>
        <v>Jeans</v>
      </c>
      <c r="N139" t="str">
        <f>IFERROR(VLOOKUP(L139,Products!$A$2:$D$21,3,0),"Unknown ")</f>
        <v>Clothing</v>
      </c>
      <c r="O139">
        <f>IFERROR(VLOOKUP(L139,Products!$A$2:$D$21,4,0),0)</f>
        <v>2800</v>
      </c>
      <c r="P139" t="str">
        <f>IFERROR(INDEX(Customers!$C$2:$C$41,MATCH(C139,Customers!$A$2:$A$41,0)),"Unknown City")</f>
        <v>Bengaluru</v>
      </c>
      <c r="Q139" s="22">
        <f>G139*O139*(1-H139)</f>
        <v>5600</v>
      </c>
      <c r="R139" t="str">
        <f t="shared" si="2"/>
        <v>Aug-2024</v>
      </c>
      <c r="S139" t="str">
        <f>IF(Q139&gt;=50000,"Large",IF(Q139&gt;=20000,"Medium","Small"))</f>
        <v>Small</v>
      </c>
      <c r="T139">
        <f>VLOOKUP(Q139,Commission!$A$2:$B$6,2,TRUE)</f>
        <v>0.02</v>
      </c>
      <c r="U139">
        <f>Q139*T139</f>
        <v>112</v>
      </c>
      <c r="V139" t="str">
        <f>IF(AND(I139="Pending",Q139&gt;20000),"Follow Up","OK")</f>
        <v>OK</v>
      </c>
      <c r="W139" t="str">
        <f>_xlfn.XLOOKUP(C139,Customers!$A$2:$A$41,Customers!$D$2:$D$41)</f>
        <v>Consumer</v>
      </c>
    </row>
    <row r="140" spans="1:23" x14ac:dyDescent="0.3">
      <c r="A140" s="9" t="s">
        <v>383</v>
      </c>
      <c r="B140" s="10">
        <v>45299</v>
      </c>
      <c r="C140" s="9" t="s">
        <v>298</v>
      </c>
      <c r="D140" s="9" t="s">
        <v>129</v>
      </c>
      <c r="E140" s="9" t="s">
        <v>130</v>
      </c>
      <c r="F140" s="9" t="s">
        <v>157</v>
      </c>
      <c r="G140" s="9">
        <v>2</v>
      </c>
      <c r="H140" s="11">
        <v>0.1</v>
      </c>
      <c r="I140" s="9" t="s">
        <v>145</v>
      </c>
      <c r="J140" t="str">
        <f>PROPER(TRIM(F140))</f>
        <v>Faisal Khan</v>
      </c>
      <c r="K140" t="str">
        <f>PROPER(TRIM(E140))</f>
        <v>South</v>
      </c>
      <c r="L140" t="str">
        <f>TRIM(D140)</f>
        <v>P118</v>
      </c>
      <c r="M140" t="str">
        <f>IFERROR(VLOOKUP(L140,Products!$A$2:$D$21,2,FALSE),"Unknown Product")</f>
        <v>Jeans</v>
      </c>
      <c r="N140" t="str">
        <f>IFERROR(VLOOKUP(L140,Products!$A$2:$D$21,3,0),"Unknown ")</f>
        <v>Clothing</v>
      </c>
      <c r="O140">
        <f>IFERROR(VLOOKUP(L140,Products!$A$2:$D$21,4,0),0)</f>
        <v>2800</v>
      </c>
      <c r="P140" t="str">
        <f>IFERROR(INDEX(Customers!$C$2:$C$41,MATCH(C140,Customers!$A$2:$A$41,0)),"Unknown City")</f>
        <v>Bengaluru</v>
      </c>
      <c r="Q140" s="22">
        <f>G140*O140*(1-H140)</f>
        <v>5040</v>
      </c>
      <c r="R140" t="str">
        <f t="shared" si="2"/>
        <v>Jan-2024</v>
      </c>
      <c r="S140" t="str">
        <f>IF(Q140&gt;=50000,"Large",IF(Q140&gt;=20000,"Medium","Small"))</f>
        <v>Small</v>
      </c>
      <c r="T140">
        <f>VLOOKUP(Q140,Commission!$A$2:$B$6,2,TRUE)</f>
        <v>0.02</v>
      </c>
      <c r="U140">
        <f>Q140*T140</f>
        <v>100.8</v>
      </c>
      <c r="V140" t="str">
        <f>IF(AND(I140="Pending",Q140&gt;20000),"Follow Up","OK")</f>
        <v>OK</v>
      </c>
      <c r="W140" t="str">
        <f>_xlfn.XLOOKUP(C140,Customers!$A$2:$A$41,Customers!$D$2:$D$41)</f>
        <v>Consumer</v>
      </c>
    </row>
    <row r="141" spans="1:23" x14ac:dyDescent="0.3">
      <c r="A141" s="9" t="s">
        <v>287</v>
      </c>
      <c r="B141" s="10">
        <v>45612</v>
      </c>
      <c r="C141" s="9" t="s">
        <v>122</v>
      </c>
      <c r="D141" s="9" t="s">
        <v>133</v>
      </c>
      <c r="E141" s="9" t="s">
        <v>130</v>
      </c>
      <c r="F141" s="9" t="s">
        <v>164</v>
      </c>
      <c r="G141" s="9">
        <v>2</v>
      </c>
      <c r="H141" s="11">
        <v>0.15</v>
      </c>
      <c r="I141" s="9" t="s">
        <v>165</v>
      </c>
      <c r="J141" t="str">
        <f>PROPER(TRIM(F141))</f>
        <v>Amit Verma</v>
      </c>
      <c r="K141" t="str">
        <f>PROPER(TRIM(E141))</f>
        <v>South</v>
      </c>
      <c r="L141" t="str">
        <f>TRIM(D141)</f>
        <v>P114</v>
      </c>
      <c r="M141" t="str">
        <f>IFERROR(VLOOKUP(L141,Products!$A$2:$D$21,2,FALSE),"Unknown Product")</f>
        <v>Almonds 1kg</v>
      </c>
      <c r="N141" t="str">
        <f>IFERROR(VLOOKUP(L141,Products!$A$2:$D$21,3,0),"Unknown ")</f>
        <v>Grocery</v>
      </c>
      <c r="O141">
        <f>IFERROR(VLOOKUP(L141,Products!$A$2:$D$21,4,0),0)</f>
        <v>850</v>
      </c>
      <c r="P141" t="str">
        <f>IFERROR(INDEX(Customers!$C$2:$C$41,MATCH(C141,Customers!$A$2:$A$41,0)),"Unknown City")</f>
        <v>Pune</v>
      </c>
      <c r="Q141" s="22">
        <f>G141*O141*(1-H141)</f>
        <v>1445</v>
      </c>
      <c r="R141" t="str">
        <f t="shared" si="2"/>
        <v>Nov-2024</v>
      </c>
      <c r="S141" t="str">
        <f>IF(Q141&gt;=50000,"Large",IF(Q141&gt;=20000,"Medium","Small"))</f>
        <v>Small</v>
      </c>
      <c r="T141">
        <f>VLOOKUP(Q141,Commission!$A$2:$B$6,2,TRUE)</f>
        <v>0.02</v>
      </c>
      <c r="U141">
        <f>Q141*T141</f>
        <v>28.900000000000002</v>
      </c>
      <c r="V141" t="str">
        <f>IF(AND(I141="Pending",Q141&gt;20000),"Follow Up","OK")</f>
        <v>OK</v>
      </c>
      <c r="W141" t="str">
        <f>_xlfn.XLOOKUP(C141,Customers!$A$2:$A$41,Customers!$D$2:$D$41)</f>
        <v>Corporate</v>
      </c>
    </row>
    <row r="142" spans="1:23" x14ac:dyDescent="0.3">
      <c r="A142" s="9" t="s">
        <v>180</v>
      </c>
      <c r="B142" s="10">
        <v>45370</v>
      </c>
      <c r="C142" s="9" t="s">
        <v>181</v>
      </c>
      <c r="D142" s="9" t="s">
        <v>182</v>
      </c>
      <c r="E142" s="9" t="s">
        <v>130</v>
      </c>
      <c r="F142" s="9" t="s">
        <v>160</v>
      </c>
      <c r="G142" s="9">
        <v>2</v>
      </c>
      <c r="H142" s="11">
        <v>0.05</v>
      </c>
      <c r="I142" s="9" t="s">
        <v>126</v>
      </c>
      <c r="J142" t="str">
        <f>PROPER(TRIM(F142))</f>
        <v>Latha Menon</v>
      </c>
      <c r="K142" t="str">
        <f>PROPER(TRIM(E142))</f>
        <v>South</v>
      </c>
      <c r="L142" t="str">
        <f>TRIM(D142)</f>
        <v>P119</v>
      </c>
      <c r="M142" t="str">
        <f>IFERROR(VLOOKUP(L142,Products!$A$2:$D$21,2,FALSE),"Unknown Product")</f>
        <v>Notebook Set</v>
      </c>
      <c r="N142" t="str">
        <f>IFERROR(VLOOKUP(L142,Products!$A$2:$D$21,3,0),"Unknown ")</f>
        <v>Stationery</v>
      </c>
      <c r="O142">
        <f>IFERROR(VLOOKUP(L142,Products!$A$2:$D$21,4,0),0)</f>
        <v>450</v>
      </c>
      <c r="P142" t="str">
        <f>IFERROR(INDEX(Customers!$C$2:$C$41,MATCH(C142,Customers!$A$2:$A$41,0)),"Unknown City")</f>
        <v>Pune</v>
      </c>
      <c r="Q142" s="22">
        <f>G142*O142*(1-H142)</f>
        <v>855</v>
      </c>
      <c r="R142" t="str">
        <f t="shared" si="2"/>
        <v>Mar-2024</v>
      </c>
      <c r="S142" t="str">
        <f>IF(Q142&gt;=50000,"Large",IF(Q142&gt;=20000,"Medium","Small"))</f>
        <v>Small</v>
      </c>
      <c r="T142">
        <f>VLOOKUP(Q142,Commission!$A$2:$B$6,2,TRUE)</f>
        <v>0.02</v>
      </c>
      <c r="U142">
        <f>Q142*T142</f>
        <v>17.100000000000001</v>
      </c>
      <c r="V142" t="str">
        <f>IF(AND(I142="Pending",Q142&gt;20000),"Follow Up","OK")</f>
        <v>OK</v>
      </c>
      <c r="W142" t="str">
        <f>_xlfn.XLOOKUP(C142,Customers!$A$2:$A$41,Customers!$D$2:$D$41)</f>
        <v>Consumer</v>
      </c>
    </row>
    <row r="143" spans="1:23" x14ac:dyDescent="0.3">
      <c r="A143" s="9" t="s">
        <v>380</v>
      </c>
      <c r="B143" s="10">
        <v>45390</v>
      </c>
      <c r="C143" s="9" t="s">
        <v>194</v>
      </c>
      <c r="D143" s="9" t="s">
        <v>261</v>
      </c>
      <c r="E143" s="9" t="s">
        <v>130</v>
      </c>
      <c r="F143" s="9" t="s">
        <v>164</v>
      </c>
      <c r="G143" s="9">
        <v>1</v>
      </c>
      <c r="H143" s="11">
        <v>0.1</v>
      </c>
      <c r="I143" s="9" t="s">
        <v>126</v>
      </c>
      <c r="J143" t="str">
        <f>PROPER(TRIM(F143))</f>
        <v>Amit Verma</v>
      </c>
      <c r="K143" t="str">
        <f>PROPER(TRIM(E143))</f>
        <v>South</v>
      </c>
      <c r="L143" t="str">
        <f>TRIM(D143)</f>
        <v>P109</v>
      </c>
      <c r="M143" t="str">
        <f>IFERROR(VLOOKUP(L143,Products!$A$2:$D$21,2,FALSE),"Unknown Product")</f>
        <v>Sofa Set</v>
      </c>
      <c r="N143" t="str">
        <f>IFERROR(VLOOKUP(L143,Products!$A$2:$D$21,3,0),"Unknown ")</f>
        <v>Furniture</v>
      </c>
      <c r="O143">
        <f>IFERROR(VLOOKUP(L143,Products!$A$2:$D$21,4,0),0)</f>
        <v>42000</v>
      </c>
      <c r="P143" t="str">
        <f>IFERROR(INDEX(Customers!$C$2:$C$41,MATCH(C143,Customers!$A$2:$A$41,0)),"Unknown City")</f>
        <v>Kolkata</v>
      </c>
      <c r="Q143" s="22">
        <f>G143*O143*(1-H143)</f>
        <v>37800</v>
      </c>
      <c r="R143" t="str">
        <f t="shared" si="2"/>
        <v>Apr-2024</v>
      </c>
      <c r="S143" t="str">
        <f>IF(Q143&gt;=50000,"Large",IF(Q143&gt;=20000,"Medium","Small"))</f>
        <v>Medium</v>
      </c>
      <c r="T143">
        <f>VLOOKUP(Q143,Commission!$A$2:$B$6,2,TRUE)</f>
        <v>0.04</v>
      </c>
      <c r="U143">
        <f>Q143*T143</f>
        <v>1512</v>
      </c>
      <c r="V143" t="str">
        <f>IF(AND(I143="Pending",Q143&gt;20000),"Follow Up","OK")</f>
        <v>OK</v>
      </c>
      <c r="W143" t="str">
        <f>_xlfn.XLOOKUP(C143,Customers!$A$2:$A$41,Customers!$D$2:$D$41)</f>
        <v>Consumer</v>
      </c>
    </row>
    <row r="144" spans="1:23" x14ac:dyDescent="0.3">
      <c r="A144" s="9" t="s">
        <v>343</v>
      </c>
      <c r="B144" s="10">
        <v>45483</v>
      </c>
      <c r="C144" s="9" t="s">
        <v>320</v>
      </c>
      <c r="D144" s="9" t="s">
        <v>189</v>
      </c>
      <c r="E144" s="9" t="s">
        <v>130</v>
      </c>
      <c r="F144" s="9" t="s">
        <v>206</v>
      </c>
      <c r="G144" s="9">
        <v>1</v>
      </c>
      <c r="H144" s="11">
        <v>0</v>
      </c>
      <c r="I144" s="9" t="s">
        <v>126</v>
      </c>
      <c r="J144" t="str">
        <f>PROPER(TRIM(F144))</f>
        <v>Sunita Rao</v>
      </c>
      <c r="K144" t="str">
        <f>PROPER(TRIM(E144))</f>
        <v>South</v>
      </c>
      <c r="L144" t="str">
        <f>TRIM(D144)</f>
        <v>P115</v>
      </c>
      <c r="M144" t="str">
        <f>IFERROR(VLOOKUP(L144,Products!$A$2:$D$21,2,FALSE),"Unknown Product")</f>
        <v>Jacket</v>
      </c>
      <c r="N144" t="str">
        <f>IFERROR(VLOOKUP(L144,Products!$A$2:$D$21,3,0),"Unknown ")</f>
        <v>Clothing</v>
      </c>
      <c r="O144">
        <f>IFERROR(VLOOKUP(L144,Products!$A$2:$D$21,4,0),0)</f>
        <v>3800</v>
      </c>
      <c r="P144" t="str">
        <f>IFERROR(INDEX(Customers!$C$2:$C$41,MATCH(C144,Customers!$A$2:$A$41,0)),"Unknown City")</f>
        <v>Delhi</v>
      </c>
      <c r="Q144" s="22">
        <f>G144*O144*(1-H144)</f>
        <v>3800</v>
      </c>
      <c r="R144" t="str">
        <f t="shared" si="2"/>
        <v>Jul-2024</v>
      </c>
      <c r="S144" t="str">
        <f>IF(Q144&gt;=50000,"Large",IF(Q144&gt;=20000,"Medium","Small"))</f>
        <v>Small</v>
      </c>
      <c r="T144">
        <f>VLOOKUP(Q144,Commission!$A$2:$B$6,2,TRUE)</f>
        <v>0.02</v>
      </c>
      <c r="U144">
        <f>Q144*T144</f>
        <v>76</v>
      </c>
      <c r="V144" t="str">
        <f>IF(AND(I144="Pending",Q144&gt;20000),"Follow Up","OK")</f>
        <v>OK</v>
      </c>
      <c r="W144" t="str">
        <f>_xlfn.XLOOKUP(C144,Customers!$A$2:$A$41,Customers!$D$2:$D$41)</f>
        <v>Home Office</v>
      </c>
    </row>
    <row r="145" spans="1:23" x14ac:dyDescent="0.3">
      <c r="A145" s="9" t="s">
        <v>417</v>
      </c>
      <c r="B145" s="10">
        <v>45302</v>
      </c>
      <c r="C145" s="9" t="s">
        <v>150</v>
      </c>
      <c r="D145" s="9" t="s">
        <v>133</v>
      </c>
      <c r="E145" s="9" t="s">
        <v>130</v>
      </c>
      <c r="F145" s="9" t="s">
        <v>160</v>
      </c>
      <c r="G145" s="9">
        <v>1</v>
      </c>
      <c r="H145" s="11">
        <v>0.05</v>
      </c>
      <c r="I145" s="9" t="s">
        <v>165</v>
      </c>
      <c r="J145" t="str">
        <f>PROPER(TRIM(F145))</f>
        <v>Latha Menon</v>
      </c>
      <c r="K145" t="str">
        <f>PROPER(TRIM(E145))</f>
        <v>South</v>
      </c>
      <c r="L145" t="str">
        <f>TRIM(D145)</f>
        <v>P114</v>
      </c>
      <c r="M145" t="str">
        <f>IFERROR(VLOOKUP(L145,Products!$A$2:$D$21,2,FALSE),"Unknown Product")</f>
        <v>Almonds 1kg</v>
      </c>
      <c r="N145" t="str">
        <f>IFERROR(VLOOKUP(L145,Products!$A$2:$D$21,3,0),"Unknown ")</f>
        <v>Grocery</v>
      </c>
      <c r="O145">
        <f>IFERROR(VLOOKUP(L145,Products!$A$2:$D$21,4,0),0)</f>
        <v>850</v>
      </c>
      <c r="P145" t="str">
        <f>IFERROR(INDEX(Customers!$C$2:$C$41,MATCH(C145,Customers!$A$2:$A$41,0)),"Unknown City")</f>
        <v>Kolkata</v>
      </c>
      <c r="Q145" s="22">
        <f>G145*O145*(1-H145)</f>
        <v>807.5</v>
      </c>
      <c r="R145" t="str">
        <f t="shared" si="2"/>
        <v>Jan-2024</v>
      </c>
      <c r="S145" t="str">
        <f>IF(Q145&gt;=50000,"Large",IF(Q145&gt;=20000,"Medium","Small"))</f>
        <v>Small</v>
      </c>
      <c r="T145">
        <f>VLOOKUP(Q145,Commission!$A$2:$B$6,2,TRUE)</f>
        <v>0.02</v>
      </c>
      <c r="U145">
        <f>Q145*T145</f>
        <v>16.149999999999999</v>
      </c>
      <c r="V145" t="str">
        <f>IF(AND(I145="Pending",Q145&gt;20000),"Follow Up","OK")</f>
        <v>OK</v>
      </c>
      <c r="W145" t="str">
        <f>_xlfn.XLOOKUP(C145,Customers!$A$2:$A$41,Customers!$D$2:$D$41)</f>
        <v>Corporate</v>
      </c>
    </row>
    <row r="146" spans="1:23" x14ac:dyDescent="0.3">
      <c r="A146" s="9" t="s">
        <v>132</v>
      </c>
      <c r="B146" s="10">
        <v>45603</v>
      </c>
      <c r="C146" s="9" t="s">
        <v>128</v>
      </c>
      <c r="D146" s="9" t="s">
        <v>133</v>
      </c>
      <c r="E146" s="9" t="s">
        <v>134</v>
      </c>
      <c r="F146" s="9" t="s">
        <v>135</v>
      </c>
      <c r="G146" s="9">
        <v>2</v>
      </c>
      <c r="H146" s="11">
        <v>0</v>
      </c>
      <c r="I146" s="9" t="s">
        <v>126</v>
      </c>
      <c r="J146" t="str">
        <f>PROPER(TRIM(F146))</f>
        <v>Manoj Das</v>
      </c>
      <c r="K146" t="str">
        <f>PROPER(TRIM(E146))</f>
        <v>South</v>
      </c>
      <c r="L146" t="str">
        <f>TRIM(D146)</f>
        <v>P114</v>
      </c>
      <c r="M146" t="str">
        <f>IFERROR(VLOOKUP(L146,Products!$A$2:$D$21,2,FALSE),"Unknown Product")</f>
        <v>Almonds 1kg</v>
      </c>
      <c r="N146" t="str">
        <f>IFERROR(VLOOKUP(L146,Products!$A$2:$D$21,3,0),"Unknown ")</f>
        <v>Grocery</v>
      </c>
      <c r="O146">
        <f>IFERROR(VLOOKUP(L146,Products!$A$2:$D$21,4,0),0)</f>
        <v>850</v>
      </c>
      <c r="P146" t="str">
        <f>IFERROR(INDEX(Customers!$C$2:$C$41,MATCH(C146,Customers!$A$2:$A$41,0)),"Unknown City")</f>
        <v>Delhi</v>
      </c>
      <c r="Q146" s="22">
        <f>G146*O146*(1-H146)</f>
        <v>1700</v>
      </c>
      <c r="R146" t="str">
        <f t="shared" si="2"/>
        <v>Nov-2024</v>
      </c>
      <c r="S146" t="str">
        <f>IF(Q146&gt;=50000,"Large",IF(Q146&gt;=20000,"Medium","Small"))</f>
        <v>Small</v>
      </c>
      <c r="T146">
        <f>VLOOKUP(Q146,Commission!$A$2:$B$6,2,TRUE)</f>
        <v>0.02</v>
      </c>
      <c r="U146">
        <f>Q146*T146</f>
        <v>34</v>
      </c>
      <c r="V146" t="str">
        <f>IF(AND(I146="Pending",Q146&gt;20000),"Follow Up","OK")</f>
        <v>OK</v>
      </c>
      <c r="W146" t="str">
        <f>_xlfn.XLOOKUP(C146,Customers!$A$2:$A$41,Customers!$D$2:$D$41)</f>
        <v>Consumer</v>
      </c>
    </row>
    <row r="147" spans="1:23" x14ac:dyDescent="0.3">
      <c r="A147" s="9" t="s">
        <v>295</v>
      </c>
      <c r="B147" s="10">
        <v>45525</v>
      </c>
      <c r="C147" s="9" t="s">
        <v>215</v>
      </c>
      <c r="D147" s="9" t="s">
        <v>212</v>
      </c>
      <c r="E147" s="9" t="s">
        <v>148</v>
      </c>
      <c r="F147" s="9" t="s">
        <v>140</v>
      </c>
      <c r="G147" s="9">
        <v>10</v>
      </c>
      <c r="H147" s="11">
        <v>0</v>
      </c>
      <c r="I147" s="9" t="s">
        <v>145</v>
      </c>
      <c r="J147" t="str">
        <f>PROPER(TRIM(F147))</f>
        <v>Pooja Nair</v>
      </c>
      <c r="K147" t="str">
        <f>PROPER(TRIM(E147))</f>
        <v>West</v>
      </c>
      <c r="L147" t="str">
        <f>TRIM(D147)</f>
        <v>P109</v>
      </c>
      <c r="M147" t="str">
        <f>IFERROR(VLOOKUP(L147,Products!$A$2:$D$21,2,FALSE),"Unknown Product")</f>
        <v>Sofa Set</v>
      </c>
      <c r="N147" t="str">
        <f>IFERROR(VLOOKUP(L147,Products!$A$2:$D$21,3,0),"Unknown ")</f>
        <v>Furniture</v>
      </c>
      <c r="O147">
        <f>IFERROR(VLOOKUP(L147,Products!$A$2:$D$21,4,0),0)</f>
        <v>42000</v>
      </c>
      <c r="P147" t="str">
        <f>IFERROR(INDEX(Customers!$C$2:$C$41,MATCH(C147,Customers!$A$2:$A$41,0)),"Unknown City")</f>
        <v>Pune</v>
      </c>
      <c r="Q147" s="22">
        <f>G147*O147*(1-H147)</f>
        <v>420000</v>
      </c>
      <c r="R147" t="str">
        <f t="shared" si="2"/>
        <v>Aug-2024</v>
      </c>
      <c r="S147" t="str">
        <f>IF(Q147&gt;=50000,"Large",IF(Q147&gt;=20000,"Medium","Small"))</f>
        <v>Large</v>
      </c>
      <c r="T147">
        <f>VLOOKUP(Q147,Commission!$A$2:$B$6,2,TRUE)</f>
        <v>0.06</v>
      </c>
      <c r="U147">
        <f>Q147*T147</f>
        <v>25200</v>
      </c>
      <c r="V147" t="str">
        <f>IF(AND(I147="Pending",Q147&gt;20000),"Follow Up","OK")</f>
        <v>OK</v>
      </c>
      <c r="W147" t="str">
        <f>_xlfn.XLOOKUP(C147,Customers!$A$2:$A$41,Customers!$D$2:$D$41)</f>
        <v>Consumer</v>
      </c>
    </row>
    <row r="148" spans="1:23" x14ac:dyDescent="0.3">
      <c r="A148" s="9" t="s">
        <v>339</v>
      </c>
      <c r="B148" s="10">
        <v>45303</v>
      </c>
      <c r="C148" s="9" t="s">
        <v>167</v>
      </c>
      <c r="D148" s="9" t="s">
        <v>275</v>
      </c>
      <c r="E148" s="9" t="s">
        <v>148</v>
      </c>
      <c r="F148" s="9" t="s">
        <v>131</v>
      </c>
      <c r="G148" s="9">
        <v>10</v>
      </c>
      <c r="H148" s="11">
        <v>0.05</v>
      </c>
      <c r="I148" s="9" t="s">
        <v>126</v>
      </c>
      <c r="J148" t="str">
        <f>PROPER(TRIM(F148))</f>
        <v>Reena Joshi</v>
      </c>
      <c r="K148" t="str">
        <f>PROPER(TRIM(E148))</f>
        <v>West</v>
      </c>
      <c r="L148" t="str">
        <f>TRIM(D148)</f>
        <v>P102</v>
      </c>
      <c r="M148" t="str">
        <f>IFERROR(VLOOKUP(L148,Products!$A$2:$D$21,2,FALSE),"Unknown Product")</f>
        <v>Smartphone</v>
      </c>
      <c r="N148" t="str">
        <f>IFERROR(VLOOKUP(L148,Products!$A$2:$D$21,3,0),"Unknown ")</f>
        <v>Electronics</v>
      </c>
      <c r="O148">
        <f>IFERROR(VLOOKUP(L148,Products!$A$2:$D$21,4,0),0)</f>
        <v>28000</v>
      </c>
      <c r="P148" t="str">
        <f>IFERROR(INDEX(Customers!$C$2:$C$41,MATCH(C148,Customers!$A$2:$A$41,0)),"Unknown City")</f>
        <v>Bengaluru</v>
      </c>
      <c r="Q148" s="22">
        <f>G148*O148*(1-H148)</f>
        <v>266000</v>
      </c>
      <c r="R148" t="str">
        <f t="shared" si="2"/>
        <v>Jan-2024</v>
      </c>
      <c r="S148" t="str">
        <f>IF(Q148&gt;=50000,"Large",IF(Q148&gt;=20000,"Medium","Small"))</f>
        <v>Large</v>
      </c>
      <c r="T148">
        <f>VLOOKUP(Q148,Commission!$A$2:$B$6,2,TRUE)</f>
        <v>0.06</v>
      </c>
      <c r="U148">
        <f>Q148*T148</f>
        <v>15960</v>
      </c>
      <c r="V148" t="str">
        <f>IF(AND(I148="Pending",Q148&gt;20000),"Follow Up","OK")</f>
        <v>OK</v>
      </c>
      <c r="W148" t="str">
        <f>_xlfn.XLOOKUP(C148,Customers!$A$2:$A$41,Customers!$D$2:$D$41)</f>
        <v>Consumer</v>
      </c>
    </row>
    <row r="149" spans="1:23" x14ac:dyDescent="0.3">
      <c r="A149" s="9" t="s">
        <v>250</v>
      </c>
      <c r="B149" s="10">
        <v>45584</v>
      </c>
      <c r="C149" s="9" t="s">
        <v>251</v>
      </c>
      <c r="D149" s="9" t="s">
        <v>123</v>
      </c>
      <c r="E149" s="9" t="s">
        <v>148</v>
      </c>
      <c r="F149" s="9" t="s">
        <v>206</v>
      </c>
      <c r="G149" s="9">
        <v>10</v>
      </c>
      <c r="H149" s="11">
        <v>0</v>
      </c>
      <c r="I149" s="9" t="s">
        <v>126</v>
      </c>
      <c r="J149" t="str">
        <f>PROPER(TRIM(F149))</f>
        <v>Sunita Rao</v>
      </c>
      <c r="K149" t="str">
        <f>PROPER(TRIM(E149))</f>
        <v>West</v>
      </c>
      <c r="L149" t="str">
        <f>TRIM(D149)</f>
        <v>P107</v>
      </c>
      <c r="M149" t="str">
        <f>IFERROR(VLOOKUP(L149,Products!$A$2:$D$21,2,FALSE),"Unknown Product")</f>
        <v>Standing Desk</v>
      </c>
      <c r="N149" t="str">
        <f>IFERROR(VLOOKUP(L149,Products!$A$2:$D$21,3,0),"Unknown ")</f>
        <v>Furniture</v>
      </c>
      <c r="O149">
        <f>IFERROR(VLOOKUP(L149,Products!$A$2:$D$21,4,0),0)</f>
        <v>18000</v>
      </c>
      <c r="P149" t="str">
        <f>IFERROR(INDEX(Customers!$C$2:$C$41,MATCH(C149,Customers!$A$2:$A$41,0)),"Unknown City")</f>
        <v>Bengaluru</v>
      </c>
      <c r="Q149" s="22">
        <f>G149*O149*(1-H149)</f>
        <v>180000</v>
      </c>
      <c r="R149" t="str">
        <f t="shared" si="2"/>
        <v>Oct-2024</v>
      </c>
      <c r="S149" t="str">
        <f>IF(Q149&gt;=50000,"Large",IF(Q149&gt;=20000,"Medium","Small"))</f>
        <v>Large</v>
      </c>
      <c r="T149">
        <f>VLOOKUP(Q149,Commission!$A$2:$B$6,2,TRUE)</f>
        <v>0.06</v>
      </c>
      <c r="U149">
        <f>Q149*T149</f>
        <v>10800</v>
      </c>
      <c r="V149" t="str">
        <f>IF(AND(I149="Pending",Q149&gt;20000),"Follow Up","OK")</f>
        <v>OK</v>
      </c>
      <c r="W149" t="str">
        <f>_xlfn.XLOOKUP(C149,Customers!$A$2:$A$41,Customers!$D$2:$D$41)</f>
        <v>Home Office</v>
      </c>
    </row>
    <row r="150" spans="1:23" x14ac:dyDescent="0.3">
      <c r="A150" s="9" t="s">
        <v>270</v>
      </c>
      <c r="B150" s="10">
        <v>45373</v>
      </c>
      <c r="C150" s="9" t="s">
        <v>271</v>
      </c>
      <c r="D150" s="9" t="s">
        <v>272</v>
      </c>
      <c r="E150" s="9" t="s">
        <v>148</v>
      </c>
      <c r="F150" s="9" t="s">
        <v>160</v>
      </c>
      <c r="G150" s="9">
        <v>10</v>
      </c>
      <c r="H150" s="11">
        <v>0</v>
      </c>
      <c r="I150" s="9" t="s">
        <v>165</v>
      </c>
      <c r="J150" t="str">
        <f>PROPER(TRIM(F150))</f>
        <v>Latha Menon</v>
      </c>
      <c r="K150" t="str">
        <f>PROPER(TRIM(E150))</f>
        <v>West</v>
      </c>
      <c r="L150" t="str">
        <f>TRIM(D150)</f>
        <v>P107</v>
      </c>
      <c r="M150" t="str">
        <f>IFERROR(VLOOKUP(L150,Products!$A$2:$D$21,2,FALSE),"Unknown Product")</f>
        <v>Standing Desk</v>
      </c>
      <c r="N150" t="str">
        <f>IFERROR(VLOOKUP(L150,Products!$A$2:$D$21,3,0),"Unknown ")</f>
        <v>Furniture</v>
      </c>
      <c r="O150">
        <f>IFERROR(VLOOKUP(L150,Products!$A$2:$D$21,4,0),0)</f>
        <v>18000</v>
      </c>
      <c r="P150" t="str">
        <f>IFERROR(INDEX(Customers!$C$2:$C$41,MATCH(C150,Customers!$A$2:$A$41,0)),"Unknown City")</f>
        <v>Chennai</v>
      </c>
      <c r="Q150" s="22">
        <f>G150*O150*(1-H150)</f>
        <v>180000</v>
      </c>
      <c r="R150" t="str">
        <f t="shared" si="2"/>
        <v>Mar-2024</v>
      </c>
      <c r="S150" t="str">
        <f>IF(Q150&gt;=50000,"Large",IF(Q150&gt;=20000,"Medium","Small"))</f>
        <v>Large</v>
      </c>
      <c r="T150">
        <f>VLOOKUP(Q150,Commission!$A$2:$B$6,2,TRUE)</f>
        <v>0.06</v>
      </c>
      <c r="U150">
        <f>Q150*T150</f>
        <v>10800</v>
      </c>
      <c r="V150" t="str">
        <f>IF(AND(I150="Pending",Q150&gt;20000),"Follow Up","OK")</f>
        <v>Follow Up</v>
      </c>
      <c r="W150" t="str">
        <f>_xlfn.XLOOKUP(C150,Customers!$A$2:$A$41,Customers!$D$2:$D$41)</f>
        <v>Corporate</v>
      </c>
    </row>
    <row r="151" spans="1:23" x14ac:dyDescent="0.3">
      <c r="A151" s="9" t="s">
        <v>225</v>
      </c>
      <c r="B151" s="10">
        <v>45380</v>
      </c>
      <c r="C151" s="9" t="s">
        <v>226</v>
      </c>
      <c r="D151" s="9" t="s">
        <v>227</v>
      </c>
      <c r="E151" s="9" t="s">
        <v>148</v>
      </c>
      <c r="F151" s="9" t="s">
        <v>131</v>
      </c>
      <c r="G151" s="9">
        <v>10</v>
      </c>
      <c r="H151" s="11">
        <v>0.15</v>
      </c>
      <c r="I151" s="9" t="s">
        <v>126</v>
      </c>
      <c r="J151" t="str">
        <f>PROPER(TRIM(F151))</f>
        <v>Reena Joshi</v>
      </c>
      <c r="K151" t="str">
        <f>PROPER(TRIM(E151))</f>
        <v>West</v>
      </c>
      <c r="L151" t="str">
        <f>TRIM(D151)</f>
        <v>P105</v>
      </c>
      <c r="M151" t="str">
        <f>IFERROR(VLOOKUP(L151,Products!$A$2:$D$21,2,FALSE),"Unknown Product")</f>
        <v>Smartwatch</v>
      </c>
      <c r="N151" t="str">
        <f>IFERROR(VLOOKUP(L151,Products!$A$2:$D$21,3,0),"Unknown ")</f>
        <v>Electronics</v>
      </c>
      <c r="O151">
        <f>IFERROR(VLOOKUP(L151,Products!$A$2:$D$21,4,0),0)</f>
        <v>9500</v>
      </c>
      <c r="P151" t="str">
        <f>IFERROR(INDEX(Customers!$C$2:$C$41,MATCH(C151,Customers!$A$2:$A$41,0)),"Unknown City")</f>
        <v>Hyderabad</v>
      </c>
      <c r="Q151" s="22">
        <f>G151*O151*(1-H151)</f>
        <v>80750</v>
      </c>
      <c r="R151" t="str">
        <f t="shared" si="2"/>
        <v>Mar-2024</v>
      </c>
      <c r="S151" t="str">
        <f>IF(Q151&gt;=50000,"Large",IF(Q151&gt;=20000,"Medium","Small"))</f>
        <v>Large</v>
      </c>
      <c r="T151">
        <f>VLOOKUP(Q151,Commission!$A$2:$B$6,2,TRUE)</f>
        <v>0.05</v>
      </c>
      <c r="U151">
        <f>Q151*T151</f>
        <v>4037.5</v>
      </c>
      <c r="V151" t="str">
        <f>IF(AND(I151="Pending",Q151&gt;20000),"Follow Up","OK")</f>
        <v>OK</v>
      </c>
      <c r="W151" t="str">
        <f>_xlfn.XLOOKUP(C151,Customers!$A$2:$A$41,Customers!$D$2:$D$41)</f>
        <v>Consumer</v>
      </c>
    </row>
    <row r="152" spans="1:23" x14ac:dyDescent="0.3">
      <c r="A152" s="9" t="s">
        <v>290</v>
      </c>
      <c r="B152" s="10">
        <v>45421</v>
      </c>
      <c r="C152" s="9" t="s">
        <v>188</v>
      </c>
      <c r="D152" s="9" t="s">
        <v>185</v>
      </c>
      <c r="E152" s="9" t="s">
        <v>148</v>
      </c>
      <c r="F152" s="9" t="s">
        <v>157</v>
      </c>
      <c r="G152" s="9">
        <v>10</v>
      </c>
      <c r="H152" s="11">
        <v>0</v>
      </c>
      <c r="I152" s="9" t="s">
        <v>126</v>
      </c>
      <c r="J152" t="str">
        <f>PROPER(TRIM(F152))</f>
        <v>Faisal Khan</v>
      </c>
      <c r="K152" t="str">
        <f>PROPER(TRIM(E152))</f>
        <v>West</v>
      </c>
      <c r="L152" t="str">
        <f>TRIM(D152)</f>
        <v>P103</v>
      </c>
      <c r="M152" t="str">
        <f>IFERROR(VLOOKUP(L152,Products!$A$2:$D$21,2,FALSE),"Unknown Product")</f>
        <v>Headphones</v>
      </c>
      <c r="N152" t="str">
        <f>IFERROR(VLOOKUP(L152,Products!$A$2:$D$21,3,0),"Unknown ")</f>
        <v>Electronics</v>
      </c>
      <c r="O152">
        <f>IFERROR(VLOOKUP(L152,Products!$A$2:$D$21,4,0),0)</f>
        <v>3500</v>
      </c>
      <c r="P152" t="str">
        <f>IFERROR(INDEX(Customers!$C$2:$C$41,MATCH(C152,Customers!$A$2:$A$41,0)),"Unknown City")</f>
        <v>Mumbai</v>
      </c>
      <c r="Q152" s="22">
        <f>G152*O152*(1-H152)</f>
        <v>35000</v>
      </c>
      <c r="R152" t="str">
        <f t="shared" si="2"/>
        <v>May-2024</v>
      </c>
      <c r="S152" t="str">
        <f>IF(Q152&gt;=50000,"Large",IF(Q152&gt;=20000,"Medium","Small"))</f>
        <v>Medium</v>
      </c>
      <c r="T152">
        <f>VLOOKUP(Q152,Commission!$A$2:$B$6,2,TRUE)</f>
        <v>0.04</v>
      </c>
      <c r="U152">
        <f>Q152*T152</f>
        <v>1400</v>
      </c>
      <c r="V152" t="str">
        <f>IF(AND(I152="Pending",Q152&gt;20000),"Follow Up","OK")</f>
        <v>OK</v>
      </c>
      <c r="W152" t="str">
        <f>_xlfn.XLOOKUP(C152,Customers!$A$2:$A$41,Customers!$D$2:$D$41)</f>
        <v>Corporate</v>
      </c>
    </row>
    <row r="153" spans="1:23" x14ac:dyDescent="0.3">
      <c r="A153" s="9" t="s">
        <v>306</v>
      </c>
      <c r="B153" s="10">
        <v>45294</v>
      </c>
      <c r="C153" s="9" t="s">
        <v>197</v>
      </c>
      <c r="D153" s="9" t="s">
        <v>133</v>
      </c>
      <c r="E153" s="9" t="s">
        <v>148</v>
      </c>
      <c r="F153" s="9" t="s">
        <v>140</v>
      </c>
      <c r="G153" s="9">
        <v>10</v>
      </c>
      <c r="H153" s="11">
        <v>0</v>
      </c>
      <c r="I153" s="9" t="s">
        <v>126</v>
      </c>
      <c r="J153" t="str">
        <f>PROPER(TRIM(F153))</f>
        <v>Pooja Nair</v>
      </c>
      <c r="K153" t="str">
        <f>PROPER(TRIM(E153))</f>
        <v>West</v>
      </c>
      <c r="L153" t="str">
        <f>TRIM(D153)</f>
        <v>P114</v>
      </c>
      <c r="M153" t="str">
        <f>IFERROR(VLOOKUP(L153,Products!$A$2:$D$21,2,FALSE),"Unknown Product")</f>
        <v>Almonds 1kg</v>
      </c>
      <c r="N153" t="str">
        <f>IFERROR(VLOOKUP(L153,Products!$A$2:$D$21,3,0),"Unknown ")</f>
        <v>Grocery</v>
      </c>
      <c r="O153">
        <f>IFERROR(VLOOKUP(L153,Products!$A$2:$D$21,4,0),0)</f>
        <v>850</v>
      </c>
      <c r="P153" t="str">
        <f>IFERROR(INDEX(Customers!$C$2:$C$41,MATCH(C153,Customers!$A$2:$A$41,0)),"Unknown City")</f>
        <v>Chennai</v>
      </c>
      <c r="Q153" s="22">
        <f>G153*O153*(1-H153)</f>
        <v>8500</v>
      </c>
      <c r="R153" t="str">
        <f t="shared" si="2"/>
        <v>Jan-2024</v>
      </c>
      <c r="S153" t="str">
        <f>IF(Q153&gt;=50000,"Large",IF(Q153&gt;=20000,"Medium","Small"))</f>
        <v>Small</v>
      </c>
      <c r="T153">
        <f>VLOOKUP(Q153,Commission!$A$2:$B$6,2,TRUE)</f>
        <v>0.02</v>
      </c>
      <c r="U153">
        <f>Q153*T153</f>
        <v>170</v>
      </c>
      <c r="V153" t="str">
        <f>IF(AND(I153="Pending",Q153&gt;20000),"Follow Up","OK")</f>
        <v>OK</v>
      </c>
      <c r="W153" t="str">
        <f>_xlfn.XLOOKUP(C153,Customers!$A$2:$A$41,Customers!$D$2:$D$41)</f>
        <v>Home Office</v>
      </c>
    </row>
    <row r="154" spans="1:23" x14ac:dyDescent="0.3">
      <c r="A154" s="9" t="s">
        <v>231</v>
      </c>
      <c r="B154" s="10">
        <v>45525</v>
      </c>
      <c r="C154" s="9" t="s">
        <v>221</v>
      </c>
      <c r="D154" s="9" t="s">
        <v>151</v>
      </c>
      <c r="E154" s="9" t="s">
        <v>148</v>
      </c>
      <c r="F154" s="9" t="s">
        <v>195</v>
      </c>
      <c r="G154" s="9">
        <v>10</v>
      </c>
      <c r="H154" s="11">
        <v>0</v>
      </c>
      <c r="I154" s="9" t="s">
        <v>165</v>
      </c>
      <c r="J154" t="str">
        <f>PROPER(TRIM(F154))</f>
        <v>Manoj Das</v>
      </c>
      <c r="K154" t="str">
        <f>PROPER(TRIM(E154))</f>
        <v>West</v>
      </c>
      <c r="L154" t="str">
        <f>TRIM(D154)</f>
        <v>P110</v>
      </c>
      <c r="M154" t="str">
        <f>IFERROR(VLOOKUP(L154,Products!$A$2:$D$21,2,FALSE),"Unknown Product")</f>
        <v>Coffee Beans</v>
      </c>
      <c r="N154" t="str">
        <f>IFERROR(VLOOKUP(L154,Products!$A$2:$D$21,3,0),"Unknown ")</f>
        <v>Grocery</v>
      </c>
      <c r="O154">
        <f>IFERROR(VLOOKUP(L154,Products!$A$2:$D$21,4,0),0)</f>
        <v>650</v>
      </c>
      <c r="P154" t="str">
        <f>IFERROR(INDEX(Customers!$C$2:$C$41,MATCH(C154,Customers!$A$2:$A$41,0)),"Unknown City")</f>
        <v>Chennai</v>
      </c>
      <c r="Q154" s="22">
        <f>G154*O154*(1-H154)</f>
        <v>6500</v>
      </c>
      <c r="R154" t="str">
        <f t="shared" si="2"/>
        <v>Aug-2024</v>
      </c>
      <c r="S154" t="str">
        <f>IF(Q154&gt;=50000,"Large",IF(Q154&gt;=20000,"Medium","Small"))</f>
        <v>Small</v>
      </c>
      <c r="T154">
        <f>VLOOKUP(Q154,Commission!$A$2:$B$6,2,TRUE)</f>
        <v>0.02</v>
      </c>
      <c r="U154">
        <f>Q154*T154</f>
        <v>130</v>
      </c>
      <c r="V154" t="str">
        <f>IF(AND(I154="Pending",Q154&gt;20000),"Follow Up","OK")</f>
        <v>OK</v>
      </c>
      <c r="W154" t="str">
        <f>_xlfn.XLOOKUP(C154,Customers!$A$2:$A$41,Customers!$D$2:$D$41)</f>
        <v>Corporate</v>
      </c>
    </row>
    <row r="155" spans="1:23" x14ac:dyDescent="0.3">
      <c r="A155" s="9" t="s">
        <v>416</v>
      </c>
      <c r="B155" s="10">
        <v>45358</v>
      </c>
      <c r="C155" s="9" t="s">
        <v>169</v>
      </c>
      <c r="D155" s="9" t="s">
        <v>261</v>
      </c>
      <c r="E155" s="9" t="s">
        <v>148</v>
      </c>
      <c r="F155" s="9" t="s">
        <v>154</v>
      </c>
      <c r="G155" s="9">
        <v>9</v>
      </c>
      <c r="H155" s="11">
        <v>0.1</v>
      </c>
      <c r="I155" s="9" t="s">
        <v>145</v>
      </c>
      <c r="J155" t="str">
        <f>PROPER(TRIM(F155))</f>
        <v>Kiran Shah</v>
      </c>
      <c r="K155" t="str">
        <f>PROPER(TRIM(E155))</f>
        <v>West</v>
      </c>
      <c r="L155" t="str">
        <f>TRIM(D155)</f>
        <v>P109</v>
      </c>
      <c r="M155" t="str">
        <f>IFERROR(VLOOKUP(L155,Products!$A$2:$D$21,2,FALSE),"Unknown Product")</f>
        <v>Sofa Set</v>
      </c>
      <c r="N155" t="str">
        <f>IFERROR(VLOOKUP(L155,Products!$A$2:$D$21,3,0),"Unknown ")</f>
        <v>Furniture</v>
      </c>
      <c r="O155">
        <f>IFERROR(VLOOKUP(L155,Products!$A$2:$D$21,4,0),0)</f>
        <v>42000</v>
      </c>
      <c r="P155" t="str">
        <f>IFERROR(INDEX(Customers!$C$2:$C$41,MATCH(C155,Customers!$A$2:$A$41,0)),"Unknown City")</f>
        <v>Bengaluru</v>
      </c>
      <c r="Q155" s="22">
        <f>G155*O155*(1-H155)</f>
        <v>340200</v>
      </c>
      <c r="R155" t="str">
        <f t="shared" si="2"/>
        <v>Mar-2024</v>
      </c>
      <c r="S155" t="str">
        <f>IF(Q155&gt;=50000,"Large",IF(Q155&gt;=20000,"Medium","Small"))</f>
        <v>Large</v>
      </c>
      <c r="T155">
        <f>VLOOKUP(Q155,Commission!$A$2:$B$6,2,TRUE)</f>
        <v>0.06</v>
      </c>
      <c r="U155">
        <f>Q155*T155</f>
        <v>20412</v>
      </c>
      <c r="V155" t="str">
        <f>IF(AND(I155="Pending",Q155&gt;20000),"Follow Up","OK")</f>
        <v>OK</v>
      </c>
      <c r="W155" t="str">
        <f>_xlfn.XLOOKUP(C155,Customers!$A$2:$A$41,Customers!$D$2:$D$41)</f>
        <v>Consumer</v>
      </c>
    </row>
    <row r="156" spans="1:23" x14ac:dyDescent="0.3">
      <c r="A156" s="9" t="s">
        <v>249</v>
      </c>
      <c r="B156" s="10">
        <v>45360</v>
      </c>
      <c r="C156" s="9" t="s">
        <v>188</v>
      </c>
      <c r="D156" s="9" t="s">
        <v>219</v>
      </c>
      <c r="E156" s="9" t="s">
        <v>148</v>
      </c>
      <c r="F156" s="9" t="s">
        <v>131</v>
      </c>
      <c r="G156" s="9">
        <v>9</v>
      </c>
      <c r="H156" s="11">
        <v>0</v>
      </c>
      <c r="I156" s="9" t="s">
        <v>126</v>
      </c>
      <c r="J156" t="str">
        <f>PROPER(TRIM(F156))</f>
        <v>Reena Joshi</v>
      </c>
      <c r="K156" t="str">
        <f>PROPER(TRIM(E156))</f>
        <v>West</v>
      </c>
      <c r="L156" t="str">
        <f>TRIM(D156)</f>
        <v>P104</v>
      </c>
      <c r="M156" t="str">
        <f>IFERROR(VLOOKUP(L156,Products!$A$2:$D$21,2,FALSE),"Unknown Product")</f>
        <v>Tablet</v>
      </c>
      <c r="N156" t="str">
        <f>IFERROR(VLOOKUP(L156,Products!$A$2:$D$21,3,0),"Unknown ")</f>
        <v>Electronics</v>
      </c>
      <c r="O156">
        <f>IFERROR(VLOOKUP(L156,Products!$A$2:$D$21,4,0),0)</f>
        <v>32000</v>
      </c>
      <c r="P156" t="str">
        <f>IFERROR(INDEX(Customers!$C$2:$C$41,MATCH(C156,Customers!$A$2:$A$41,0)),"Unknown City")</f>
        <v>Mumbai</v>
      </c>
      <c r="Q156" s="22">
        <f>G156*O156*(1-H156)</f>
        <v>288000</v>
      </c>
      <c r="R156" t="str">
        <f t="shared" si="2"/>
        <v>Mar-2024</v>
      </c>
      <c r="S156" t="str">
        <f>IF(Q156&gt;=50000,"Large",IF(Q156&gt;=20000,"Medium","Small"))</f>
        <v>Large</v>
      </c>
      <c r="T156">
        <f>VLOOKUP(Q156,Commission!$A$2:$B$6,2,TRUE)</f>
        <v>0.06</v>
      </c>
      <c r="U156">
        <f>Q156*T156</f>
        <v>17280</v>
      </c>
      <c r="V156" t="str">
        <f>IF(AND(I156="Pending",Q156&gt;20000),"Follow Up","OK")</f>
        <v>OK</v>
      </c>
      <c r="W156" t="str">
        <f>_xlfn.XLOOKUP(C156,Customers!$A$2:$A$41,Customers!$D$2:$D$41)</f>
        <v>Corporate</v>
      </c>
    </row>
    <row r="157" spans="1:23" x14ac:dyDescent="0.3">
      <c r="A157" s="9" t="s">
        <v>175</v>
      </c>
      <c r="B157" s="10">
        <v>45429</v>
      </c>
      <c r="C157" s="9" t="s">
        <v>142</v>
      </c>
      <c r="D157" s="9" t="s">
        <v>123</v>
      </c>
      <c r="E157" s="9" t="s">
        <v>176</v>
      </c>
      <c r="F157" s="9" t="s">
        <v>135</v>
      </c>
      <c r="G157" s="9">
        <v>9</v>
      </c>
      <c r="H157" s="11">
        <v>0</v>
      </c>
      <c r="I157" s="9" t="s">
        <v>165</v>
      </c>
      <c r="J157" t="str">
        <f>PROPER(TRIM(F157))</f>
        <v>Manoj Das</v>
      </c>
      <c r="K157" t="str">
        <f>PROPER(TRIM(E157))</f>
        <v>West</v>
      </c>
      <c r="L157" t="str">
        <f>TRIM(D157)</f>
        <v>P107</v>
      </c>
      <c r="M157" t="str">
        <f>IFERROR(VLOOKUP(L157,Products!$A$2:$D$21,2,FALSE),"Unknown Product")</f>
        <v>Standing Desk</v>
      </c>
      <c r="N157" t="str">
        <f>IFERROR(VLOOKUP(L157,Products!$A$2:$D$21,3,0),"Unknown ")</f>
        <v>Furniture</v>
      </c>
      <c r="O157">
        <f>IFERROR(VLOOKUP(L157,Products!$A$2:$D$21,4,0),0)</f>
        <v>18000</v>
      </c>
      <c r="P157" t="str">
        <f>IFERROR(INDEX(Customers!$C$2:$C$41,MATCH(C157,Customers!$A$2:$A$41,0)),"Unknown City")</f>
        <v>Bengaluru</v>
      </c>
      <c r="Q157" s="22">
        <f>G157*O157*(1-H157)</f>
        <v>162000</v>
      </c>
      <c r="R157" t="str">
        <f t="shared" si="2"/>
        <v>May-2024</v>
      </c>
      <c r="S157" t="str">
        <f>IF(Q157&gt;=50000,"Large",IF(Q157&gt;=20000,"Medium","Small"))</f>
        <v>Large</v>
      </c>
      <c r="T157">
        <f>VLOOKUP(Q157,Commission!$A$2:$B$6,2,TRUE)</f>
        <v>0.06</v>
      </c>
      <c r="U157">
        <f>Q157*T157</f>
        <v>9720</v>
      </c>
      <c r="V157" t="str">
        <f>IF(AND(I157="Pending",Q157&gt;20000),"Follow Up","OK")</f>
        <v>Follow Up</v>
      </c>
      <c r="W157" t="str">
        <f>_xlfn.XLOOKUP(C157,Customers!$A$2:$A$41,Customers!$D$2:$D$41)</f>
        <v>Consumer</v>
      </c>
    </row>
    <row r="158" spans="1:23" x14ac:dyDescent="0.3">
      <c r="A158" s="9" t="s">
        <v>193</v>
      </c>
      <c r="B158" s="10">
        <v>45463</v>
      </c>
      <c r="C158" s="9" t="s">
        <v>194</v>
      </c>
      <c r="D158" s="9" t="s">
        <v>185</v>
      </c>
      <c r="E158" s="9" t="s">
        <v>148</v>
      </c>
      <c r="F158" s="9" t="s">
        <v>195</v>
      </c>
      <c r="G158" s="9">
        <v>9</v>
      </c>
      <c r="H158" s="11">
        <v>0.15</v>
      </c>
      <c r="I158" s="9" t="s">
        <v>126</v>
      </c>
      <c r="J158" t="str">
        <f>PROPER(TRIM(F158))</f>
        <v>Manoj Das</v>
      </c>
      <c r="K158" t="str">
        <f>PROPER(TRIM(E158))</f>
        <v>West</v>
      </c>
      <c r="L158" t="str">
        <f>TRIM(D158)</f>
        <v>P103</v>
      </c>
      <c r="M158" t="str">
        <f>IFERROR(VLOOKUP(L158,Products!$A$2:$D$21,2,FALSE),"Unknown Product")</f>
        <v>Headphones</v>
      </c>
      <c r="N158" t="str">
        <f>IFERROR(VLOOKUP(L158,Products!$A$2:$D$21,3,0),"Unknown ")</f>
        <v>Electronics</v>
      </c>
      <c r="O158">
        <f>IFERROR(VLOOKUP(L158,Products!$A$2:$D$21,4,0),0)</f>
        <v>3500</v>
      </c>
      <c r="P158" t="str">
        <f>IFERROR(INDEX(Customers!$C$2:$C$41,MATCH(C158,Customers!$A$2:$A$41,0)),"Unknown City")</f>
        <v>Kolkata</v>
      </c>
      <c r="Q158" s="22">
        <f>G158*O158*(1-H158)</f>
        <v>26775</v>
      </c>
      <c r="R158" t="str">
        <f t="shared" si="2"/>
        <v>Jun-2024</v>
      </c>
      <c r="S158" t="str">
        <f>IF(Q158&gt;=50000,"Large",IF(Q158&gt;=20000,"Medium","Small"))</f>
        <v>Medium</v>
      </c>
      <c r="T158">
        <f>VLOOKUP(Q158,Commission!$A$2:$B$6,2,TRUE)</f>
        <v>0.04</v>
      </c>
      <c r="U158">
        <f>Q158*T158</f>
        <v>1071</v>
      </c>
      <c r="V158" t="str">
        <f>IF(AND(I158="Pending",Q158&gt;20000),"Follow Up","OK")</f>
        <v>OK</v>
      </c>
      <c r="W158" t="str">
        <f>_xlfn.XLOOKUP(C158,Customers!$A$2:$A$41,Customers!$D$2:$D$41)</f>
        <v>Consumer</v>
      </c>
    </row>
    <row r="159" spans="1:23" x14ac:dyDescent="0.3">
      <c r="A159" s="9" t="s">
        <v>410</v>
      </c>
      <c r="B159" s="10">
        <v>45536</v>
      </c>
      <c r="C159" s="9" t="s">
        <v>184</v>
      </c>
      <c r="D159" s="9" t="s">
        <v>170</v>
      </c>
      <c r="E159" s="9" t="s">
        <v>148</v>
      </c>
      <c r="F159" s="9" t="s">
        <v>157</v>
      </c>
      <c r="G159" s="9">
        <v>8</v>
      </c>
      <c r="H159" s="11">
        <v>0</v>
      </c>
      <c r="I159" s="9" t="s">
        <v>165</v>
      </c>
      <c r="J159" t="str">
        <f>PROPER(TRIM(F159))</f>
        <v>Faisal Khan</v>
      </c>
      <c r="K159" t="str">
        <f>PROPER(TRIM(E159))</f>
        <v>West</v>
      </c>
      <c r="L159" t="str">
        <f>TRIM(D159)</f>
        <v>P101</v>
      </c>
      <c r="M159" t="str">
        <f>IFERROR(VLOOKUP(L159,Products!$A$2:$D$21,2,FALSE),"Unknown Product")</f>
        <v>Laptop</v>
      </c>
      <c r="N159" t="str">
        <f>IFERROR(VLOOKUP(L159,Products!$A$2:$D$21,3,0),"Unknown ")</f>
        <v>Electronics</v>
      </c>
      <c r="O159">
        <f>IFERROR(VLOOKUP(L159,Products!$A$2:$D$21,4,0),0)</f>
        <v>55000</v>
      </c>
      <c r="P159" t="str">
        <f>IFERROR(INDEX(Customers!$C$2:$C$41,MATCH(C159,Customers!$A$2:$A$41,0)),"Unknown City")</f>
        <v>Mumbai</v>
      </c>
      <c r="Q159" s="22">
        <f>G159*O159*(1-H159)</f>
        <v>440000</v>
      </c>
      <c r="R159" t="str">
        <f t="shared" si="2"/>
        <v>Sep-2024</v>
      </c>
      <c r="S159" t="str">
        <f>IF(Q159&gt;=50000,"Large",IF(Q159&gt;=20000,"Medium","Small"))</f>
        <v>Large</v>
      </c>
      <c r="T159">
        <f>VLOOKUP(Q159,Commission!$A$2:$B$6,2,TRUE)</f>
        <v>0.06</v>
      </c>
      <c r="U159">
        <f>Q159*T159</f>
        <v>26400</v>
      </c>
      <c r="V159" t="str">
        <f>IF(AND(I159="Pending",Q159&gt;20000),"Follow Up","OK")</f>
        <v>Follow Up</v>
      </c>
      <c r="W159" t="str">
        <f>_xlfn.XLOOKUP(C159,Customers!$A$2:$A$41,Customers!$D$2:$D$41)</f>
        <v>Home Office</v>
      </c>
    </row>
    <row r="160" spans="1:23" x14ac:dyDescent="0.3">
      <c r="A160" s="9" t="s">
        <v>282</v>
      </c>
      <c r="B160" s="10">
        <v>45644</v>
      </c>
      <c r="C160" s="9" t="s">
        <v>218</v>
      </c>
      <c r="D160" s="9" t="s">
        <v>192</v>
      </c>
      <c r="E160" s="9" t="s">
        <v>148</v>
      </c>
      <c r="F160" s="9" t="s">
        <v>140</v>
      </c>
      <c r="G160" s="9">
        <v>8</v>
      </c>
      <c r="H160" s="11">
        <v>0</v>
      </c>
      <c r="I160" s="9" t="s">
        <v>145</v>
      </c>
      <c r="J160" t="str">
        <f>PROPER(TRIM(F160))</f>
        <v>Pooja Nair</v>
      </c>
      <c r="K160" t="str">
        <f>PROPER(TRIM(E160))</f>
        <v>West</v>
      </c>
      <c r="L160" t="str">
        <f>TRIM(D160)</f>
        <v>P108</v>
      </c>
      <c r="M160" t="str">
        <f>IFERROR(VLOOKUP(L160,Products!$A$2:$D$21,2,FALSE),"Unknown Product")</f>
        <v>Bookshelf</v>
      </c>
      <c r="N160" t="str">
        <f>IFERROR(VLOOKUP(L160,Products!$A$2:$D$21,3,0),"Unknown ")</f>
        <v>Furniture</v>
      </c>
      <c r="O160">
        <f>IFERROR(VLOOKUP(L160,Products!$A$2:$D$21,4,0),0)</f>
        <v>6200</v>
      </c>
      <c r="P160" t="str">
        <f>IFERROR(INDEX(Customers!$C$2:$C$41,MATCH(C160,Customers!$A$2:$A$41,0)),"Unknown City")</f>
        <v>Mumbai</v>
      </c>
      <c r="Q160" s="22">
        <f>G160*O160*(1-H160)</f>
        <v>49600</v>
      </c>
      <c r="R160" t="str">
        <f t="shared" si="2"/>
        <v>Dec-2024</v>
      </c>
      <c r="S160" t="str">
        <f>IF(Q160&gt;=50000,"Large",IF(Q160&gt;=20000,"Medium","Small"))</f>
        <v>Medium</v>
      </c>
      <c r="T160">
        <f>VLOOKUP(Q160,Commission!$A$2:$B$6,2,TRUE)</f>
        <v>0.04</v>
      </c>
      <c r="U160">
        <f>Q160*T160</f>
        <v>1984</v>
      </c>
      <c r="V160" t="str">
        <f>IF(AND(I160="Pending",Q160&gt;20000),"Follow Up","OK")</f>
        <v>OK</v>
      </c>
      <c r="W160" t="str">
        <f>_xlfn.XLOOKUP(C160,Customers!$A$2:$A$41,Customers!$D$2:$D$41)</f>
        <v>Home Office</v>
      </c>
    </row>
    <row r="161" spans="1:23" x14ac:dyDescent="0.3">
      <c r="A161" s="9" t="s">
        <v>313</v>
      </c>
      <c r="B161" s="10">
        <v>45339</v>
      </c>
      <c r="C161" s="9" t="s">
        <v>304</v>
      </c>
      <c r="D161" s="9" t="s">
        <v>192</v>
      </c>
      <c r="E161" s="9" t="s">
        <v>176</v>
      </c>
      <c r="F161" s="9" t="s">
        <v>157</v>
      </c>
      <c r="G161" s="9">
        <v>8</v>
      </c>
      <c r="H161" s="11">
        <v>0</v>
      </c>
      <c r="I161" s="9" t="s">
        <v>126</v>
      </c>
      <c r="J161" t="str">
        <f>PROPER(TRIM(F161))</f>
        <v>Faisal Khan</v>
      </c>
      <c r="K161" t="str">
        <f>PROPER(TRIM(E161))</f>
        <v>West</v>
      </c>
      <c r="L161" t="str">
        <f>TRIM(D161)</f>
        <v>P108</v>
      </c>
      <c r="M161" t="str">
        <f>IFERROR(VLOOKUP(L161,Products!$A$2:$D$21,2,FALSE),"Unknown Product")</f>
        <v>Bookshelf</v>
      </c>
      <c r="N161" t="str">
        <f>IFERROR(VLOOKUP(L161,Products!$A$2:$D$21,3,0),"Unknown ")</f>
        <v>Furniture</v>
      </c>
      <c r="O161">
        <f>IFERROR(VLOOKUP(L161,Products!$A$2:$D$21,4,0),0)</f>
        <v>6200</v>
      </c>
      <c r="P161" t="str">
        <f>IFERROR(INDEX(Customers!$C$2:$C$41,MATCH(C161,Customers!$A$2:$A$41,0)),"Unknown City")</f>
        <v>Chennai</v>
      </c>
      <c r="Q161" s="22">
        <f>G161*O161*(1-H161)</f>
        <v>49600</v>
      </c>
      <c r="R161" t="str">
        <f t="shared" si="2"/>
        <v>Feb-2024</v>
      </c>
      <c r="S161" t="str">
        <f>IF(Q161&gt;=50000,"Large",IF(Q161&gt;=20000,"Medium","Small"))</f>
        <v>Medium</v>
      </c>
      <c r="T161">
        <f>VLOOKUP(Q161,Commission!$A$2:$B$6,2,TRUE)</f>
        <v>0.04</v>
      </c>
      <c r="U161">
        <f>Q161*T161</f>
        <v>1984</v>
      </c>
      <c r="V161" t="str">
        <f>IF(AND(I161="Pending",Q161&gt;20000),"Follow Up","OK")</f>
        <v>OK</v>
      </c>
      <c r="W161" t="str">
        <f>_xlfn.XLOOKUP(C161,Customers!$A$2:$A$41,Customers!$D$2:$D$41)</f>
        <v>Corporate</v>
      </c>
    </row>
    <row r="162" spans="1:23" x14ac:dyDescent="0.3">
      <c r="A162" s="9" t="s">
        <v>263</v>
      </c>
      <c r="B162" s="10">
        <v>45508</v>
      </c>
      <c r="C162" s="9" t="s">
        <v>264</v>
      </c>
      <c r="D162" s="9" t="s">
        <v>185</v>
      </c>
      <c r="E162" s="9" t="s">
        <v>148</v>
      </c>
      <c r="F162" s="9" t="s">
        <v>160</v>
      </c>
      <c r="G162" s="9">
        <v>8</v>
      </c>
      <c r="H162" s="11">
        <v>0</v>
      </c>
      <c r="I162" s="9" t="s">
        <v>126</v>
      </c>
      <c r="J162" t="str">
        <f>PROPER(TRIM(F162))</f>
        <v>Latha Menon</v>
      </c>
      <c r="K162" t="str">
        <f>PROPER(TRIM(E162))</f>
        <v>West</v>
      </c>
      <c r="L162" t="str">
        <f>TRIM(D162)</f>
        <v>P103</v>
      </c>
      <c r="M162" t="str">
        <f>IFERROR(VLOOKUP(L162,Products!$A$2:$D$21,2,FALSE),"Unknown Product")</f>
        <v>Headphones</v>
      </c>
      <c r="N162" t="str">
        <f>IFERROR(VLOOKUP(L162,Products!$A$2:$D$21,3,0),"Unknown ")</f>
        <v>Electronics</v>
      </c>
      <c r="O162">
        <f>IFERROR(VLOOKUP(L162,Products!$A$2:$D$21,4,0),0)</f>
        <v>3500</v>
      </c>
      <c r="P162" t="str">
        <f>IFERROR(INDEX(Customers!$C$2:$C$41,MATCH(C162,Customers!$A$2:$A$41,0)),"Unknown City")</f>
        <v>Bengaluru</v>
      </c>
      <c r="Q162" s="22">
        <f>G162*O162*(1-H162)</f>
        <v>28000</v>
      </c>
      <c r="R162" t="str">
        <f t="shared" si="2"/>
        <v>Aug-2024</v>
      </c>
      <c r="S162" t="str">
        <f>IF(Q162&gt;=50000,"Large",IF(Q162&gt;=20000,"Medium","Small"))</f>
        <v>Medium</v>
      </c>
      <c r="T162">
        <f>VLOOKUP(Q162,Commission!$A$2:$B$6,2,TRUE)</f>
        <v>0.04</v>
      </c>
      <c r="U162">
        <f>Q162*T162</f>
        <v>1120</v>
      </c>
      <c r="V162" t="str">
        <f>IF(AND(I162="Pending",Q162&gt;20000),"Follow Up","OK")</f>
        <v>OK</v>
      </c>
      <c r="W162" t="str">
        <f>_xlfn.XLOOKUP(C162,Customers!$A$2:$A$41,Customers!$D$2:$D$41)</f>
        <v>Home Office</v>
      </c>
    </row>
    <row r="163" spans="1:23" x14ac:dyDescent="0.3">
      <c r="A163" s="9" t="s">
        <v>411</v>
      </c>
      <c r="B163" s="10">
        <v>45304</v>
      </c>
      <c r="C163" s="9" t="s">
        <v>226</v>
      </c>
      <c r="D163" s="9" t="s">
        <v>219</v>
      </c>
      <c r="E163" s="9" t="s">
        <v>148</v>
      </c>
      <c r="F163" s="9" t="s">
        <v>131</v>
      </c>
      <c r="G163" s="9">
        <v>7</v>
      </c>
      <c r="H163" s="11">
        <v>0</v>
      </c>
      <c r="I163" s="9" t="s">
        <v>165</v>
      </c>
      <c r="J163" t="str">
        <f>PROPER(TRIM(F163))</f>
        <v>Reena Joshi</v>
      </c>
      <c r="K163" t="str">
        <f>PROPER(TRIM(E163))</f>
        <v>West</v>
      </c>
      <c r="L163" t="str">
        <f>TRIM(D163)</f>
        <v>P104</v>
      </c>
      <c r="M163" t="str">
        <f>IFERROR(VLOOKUP(L163,Products!$A$2:$D$21,2,FALSE),"Unknown Product")</f>
        <v>Tablet</v>
      </c>
      <c r="N163" t="str">
        <f>IFERROR(VLOOKUP(L163,Products!$A$2:$D$21,3,0),"Unknown ")</f>
        <v>Electronics</v>
      </c>
      <c r="O163">
        <f>IFERROR(VLOOKUP(L163,Products!$A$2:$D$21,4,0),0)</f>
        <v>32000</v>
      </c>
      <c r="P163" t="str">
        <f>IFERROR(INDEX(Customers!$C$2:$C$41,MATCH(C163,Customers!$A$2:$A$41,0)),"Unknown City")</f>
        <v>Hyderabad</v>
      </c>
      <c r="Q163" s="22">
        <f>G163*O163*(1-H163)</f>
        <v>224000</v>
      </c>
      <c r="R163" t="str">
        <f t="shared" si="2"/>
        <v>Jan-2024</v>
      </c>
      <c r="S163" t="str">
        <f>IF(Q163&gt;=50000,"Large",IF(Q163&gt;=20000,"Medium","Small"))</f>
        <v>Large</v>
      </c>
      <c r="T163">
        <f>VLOOKUP(Q163,Commission!$A$2:$B$6,2,TRUE)</f>
        <v>0.06</v>
      </c>
      <c r="U163">
        <f>Q163*T163</f>
        <v>13440</v>
      </c>
      <c r="V163" t="str">
        <f>IF(AND(I163="Pending",Q163&gt;20000),"Follow Up","OK")</f>
        <v>Follow Up</v>
      </c>
      <c r="W163" t="str">
        <f>_xlfn.XLOOKUP(C163,Customers!$A$2:$A$41,Customers!$D$2:$D$41)</f>
        <v>Consumer</v>
      </c>
    </row>
    <row r="164" spans="1:23" x14ac:dyDescent="0.3">
      <c r="A164" s="9" t="s">
        <v>204</v>
      </c>
      <c r="B164" s="10">
        <v>45412</v>
      </c>
      <c r="C164" s="9" t="s">
        <v>199</v>
      </c>
      <c r="D164" s="9" t="s">
        <v>192</v>
      </c>
      <c r="E164" s="9" t="s">
        <v>148</v>
      </c>
      <c r="F164" s="9" t="s">
        <v>131</v>
      </c>
      <c r="G164" s="9">
        <v>7</v>
      </c>
      <c r="H164" s="11">
        <v>0</v>
      </c>
      <c r="I164" s="9" t="s">
        <v>165</v>
      </c>
      <c r="J164" t="str">
        <f>PROPER(TRIM(F164))</f>
        <v>Reena Joshi</v>
      </c>
      <c r="K164" t="str">
        <f>PROPER(TRIM(E164))</f>
        <v>West</v>
      </c>
      <c r="L164" t="str">
        <f>TRIM(D164)</f>
        <v>P108</v>
      </c>
      <c r="M164" t="str">
        <f>IFERROR(VLOOKUP(L164,Products!$A$2:$D$21,2,FALSE),"Unknown Product")</f>
        <v>Bookshelf</v>
      </c>
      <c r="N164" t="str">
        <f>IFERROR(VLOOKUP(L164,Products!$A$2:$D$21,3,0),"Unknown ")</f>
        <v>Furniture</v>
      </c>
      <c r="O164">
        <f>IFERROR(VLOOKUP(L164,Products!$A$2:$D$21,4,0),0)</f>
        <v>6200</v>
      </c>
      <c r="P164" t="str">
        <f>IFERROR(INDEX(Customers!$C$2:$C$41,MATCH(C164,Customers!$A$2:$A$41,0)),"Unknown City")</f>
        <v>Delhi</v>
      </c>
      <c r="Q164" s="22">
        <f>G164*O164*(1-H164)</f>
        <v>43400</v>
      </c>
      <c r="R164" t="str">
        <f t="shared" si="2"/>
        <v>Apr-2024</v>
      </c>
      <c r="S164" t="str">
        <f>IF(Q164&gt;=50000,"Large",IF(Q164&gt;=20000,"Medium","Small"))</f>
        <v>Medium</v>
      </c>
      <c r="T164">
        <f>VLOOKUP(Q164,Commission!$A$2:$B$6,2,TRUE)</f>
        <v>0.04</v>
      </c>
      <c r="U164">
        <f>Q164*T164</f>
        <v>1736</v>
      </c>
      <c r="V164" t="str">
        <f>IF(AND(I164="Pending",Q164&gt;20000),"Follow Up","OK")</f>
        <v>Follow Up</v>
      </c>
      <c r="W164" t="str">
        <f>_xlfn.XLOOKUP(C164,Customers!$A$2:$A$41,Customers!$D$2:$D$41)</f>
        <v>Consumer</v>
      </c>
    </row>
    <row r="165" spans="1:23" x14ac:dyDescent="0.3">
      <c r="A165" s="9" t="s">
        <v>409</v>
      </c>
      <c r="B165" s="10">
        <v>45374</v>
      </c>
      <c r="C165" s="9" t="s">
        <v>169</v>
      </c>
      <c r="D165" s="9" t="s">
        <v>163</v>
      </c>
      <c r="E165" s="9" t="s">
        <v>148</v>
      </c>
      <c r="F165" s="9" t="s">
        <v>160</v>
      </c>
      <c r="G165" s="9">
        <v>7</v>
      </c>
      <c r="H165" s="11">
        <v>0</v>
      </c>
      <c r="I165" s="9" t="s">
        <v>126</v>
      </c>
      <c r="J165" t="str">
        <f>PROPER(TRIM(F165))</f>
        <v>Latha Menon</v>
      </c>
      <c r="K165" t="str">
        <f>PROPER(TRIM(E165))</f>
        <v>West</v>
      </c>
      <c r="L165" t="str">
        <f>TRIM(D165)</f>
        <v>P117</v>
      </c>
      <c r="M165" t="str">
        <f>IFERROR(VLOOKUP(L165,Products!$A$2:$D$21,2,FALSE),"Unknown Product")</f>
        <v>T-Shirt Pack</v>
      </c>
      <c r="N165" t="str">
        <f>IFERROR(VLOOKUP(L165,Products!$A$2:$D$21,3,0),"Unknown ")</f>
        <v>Clothing</v>
      </c>
      <c r="O165">
        <f>IFERROR(VLOOKUP(L165,Products!$A$2:$D$21,4,0),0)</f>
        <v>1500</v>
      </c>
      <c r="P165" t="str">
        <f>IFERROR(INDEX(Customers!$C$2:$C$41,MATCH(C165,Customers!$A$2:$A$41,0)),"Unknown City")</f>
        <v>Bengaluru</v>
      </c>
      <c r="Q165" s="22">
        <f>G165*O165*(1-H165)</f>
        <v>10500</v>
      </c>
      <c r="R165" t="str">
        <f t="shared" si="2"/>
        <v>Mar-2024</v>
      </c>
      <c r="S165" t="str">
        <f>IF(Q165&gt;=50000,"Large",IF(Q165&gt;=20000,"Medium","Small"))</f>
        <v>Small</v>
      </c>
      <c r="T165">
        <f>VLOOKUP(Q165,Commission!$A$2:$B$6,2,TRUE)</f>
        <v>0.03</v>
      </c>
      <c r="U165">
        <f>Q165*T165</f>
        <v>315</v>
      </c>
      <c r="V165" t="str">
        <f>IF(AND(I165="Pending",Q165&gt;20000),"Follow Up","OK")</f>
        <v>OK</v>
      </c>
      <c r="W165" t="str">
        <f>_xlfn.XLOOKUP(C165,Customers!$A$2:$A$41,Customers!$D$2:$D$41)</f>
        <v>Consumer</v>
      </c>
    </row>
    <row r="166" spans="1:23" x14ac:dyDescent="0.3">
      <c r="A166" s="9" t="s">
        <v>146</v>
      </c>
      <c r="B166" s="10">
        <v>45302</v>
      </c>
      <c r="C166" s="9" t="s">
        <v>147</v>
      </c>
      <c r="D166" s="9" t="s">
        <v>138</v>
      </c>
      <c r="E166" s="9" t="s">
        <v>148</v>
      </c>
      <c r="F166" s="9" t="s">
        <v>140</v>
      </c>
      <c r="G166" s="9">
        <v>7</v>
      </c>
      <c r="H166" s="11">
        <v>0</v>
      </c>
      <c r="I166" s="9" t="s">
        <v>126</v>
      </c>
      <c r="J166" t="str">
        <f>PROPER(TRIM(F166))</f>
        <v>Pooja Nair</v>
      </c>
      <c r="K166" t="str">
        <f>PROPER(TRIM(E166))</f>
        <v>West</v>
      </c>
      <c r="L166" t="str">
        <f>TRIM(D166)</f>
        <v>P113</v>
      </c>
      <c r="M166" t="str">
        <f>IFERROR(VLOOKUP(L166,Products!$A$2:$D$21,2,FALSE),"Unknown Product")</f>
        <v>Protein Bar Box</v>
      </c>
      <c r="N166" t="str">
        <f>IFERROR(VLOOKUP(L166,Products!$A$2:$D$21,3,0),"Unknown ")</f>
        <v>Grocery</v>
      </c>
      <c r="O166">
        <f>IFERROR(VLOOKUP(L166,Products!$A$2:$D$21,4,0),0)</f>
        <v>1200</v>
      </c>
      <c r="P166" t="str">
        <f>IFERROR(INDEX(Customers!$C$2:$C$41,MATCH(C166,Customers!$A$2:$A$41,0)),"Unknown City")</f>
        <v>Hyderabad</v>
      </c>
      <c r="Q166" s="22">
        <f>G166*O166*(1-H166)</f>
        <v>8400</v>
      </c>
      <c r="R166" t="str">
        <f t="shared" si="2"/>
        <v>Jan-2024</v>
      </c>
      <c r="S166" t="str">
        <f>IF(Q166&gt;=50000,"Large",IF(Q166&gt;=20000,"Medium","Small"))</f>
        <v>Small</v>
      </c>
      <c r="T166">
        <f>VLOOKUP(Q166,Commission!$A$2:$B$6,2,TRUE)</f>
        <v>0.02</v>
      </c>
      <c r="U166">
        <f>Q166*T166</f>
        <v>168</v>
      </c>
      <c r="V166" t="str">
        <f>IF(AND(I166="Pending",Q166&gt;20000),"Follow Up","OK")</f>
        <v>OK</v>
      </c>
      <c r="W166" t="str">
        <f>_xlfn.XLOOKUP(C166,Customers!$A$2:$A$41,Customers!$D$2:$D$41)</f>
        <v>Corporate</v>
      </c>
    </row>
    <row r="167" spans="1:23" x14ac:dyDescent="0.3">
      <c r="A167" s="9" t="s">
        <v>253</v>
      </c>
      <c r="B167" s="10">
        <v>45525</v>
      </c>
      <c r="C167" s="9" t="s">
        <v>221</v>
      </c>
      <c r="D167" s="9" t="s">
        <v>138</v>
      </c>
      <c r="E167" s="9" t="s">
        <v>148</v>
      </c>
      <c r="F167" s="9" t="s">
        <v>157</v>
      </c>
      <c r="G167" s="9">
        <v>7</v>
      </c>
      <c r="H167" s="11">
        <v>0</v>
      </c>
      <c r="I167" s="9" t="s">
        <v>165</v>
      </c>
      <c r="J167" t="str">
        <f>PROPER(TRIM(F167))</f>
        <v>Faisal Khan</v>
      </c>
      <c r="K167" t="str">
        <f>PROPER(TRIM(E167))</f>
        <v>West</v>
      </c>
      <c r="L167" t="str">
        <f>TRIM(D167)</f>
        <v>P113</v>
      </c>
      <c r="M167" t="str">
        <f>IFERROR(VLOOKUP(L167,Products!$A$2:$D$21,2,FALSE),"Unknown Product")</f>
        <v>Protein Bar Box</v>
      </c>
      <c r="N167" t="str">
        <f>IFERROR(VLOOKUP(L167,Products!$A$2:$D$21,3,0),"Unknown ")</f>
        <v>Grocery</v>
      </c>
      <c r="O167">
        <f>IFERROR(VLOOKUP(L167,Products!$A$2:$D$21,4,0),0)</f>
        <v>1200</v>
      </c>
      <c r="P167" t="str">
        <f>IFERROR(INDEX(Customers!$C$2:$C$41,MATCH(C167,Customers!$A$2:$A$41,0)),"Unknown City")</f>
        <v>Chennai</v>
      </c>
      <c r="Q167" s="22">
        <f>G167*O167*(1-H167)</f>
        <v>8400</v>
      </c>
      <c r="R167" t="str">
        <f t="shared" si="2"/>
        <v>Aug-2024</v>
      </c>
      <c r="S167" t="str">
        <f>IF(Q167&gt;=50000,"Large",IF(Q167&gt;=20000,"Medium","Small"))</f>
        <v>Small</v>
      </c>
      <c r="T167">
        <f>VLOOKUP(Q167,Commission!$A$2:$B$6,2,TRUE)</f>
        <v>0.02</v>
      </c>
      <c r="U167">
        <f>Q167*T167</f>
        <v>168</v>
      </c>
      <c r="V167" t="str">
        <f>IF(AND(I167="Pending",Q167&gt;20000),"Follow Up","OK")</f>
        <v>OK</v>
      </c>
      <c r="W167" t="str">
        <f>_xlfn.XLOOKUP(C167,Customers!$A$2:$A$41,Customers!$D$2:$D$41)</f>
        <v>Corporate</v>
      </c>
    </row>
    <row r="168" spans="1:23" x14ac:dyDescent="0.3">
      <c r="A168" s="9" t="s">
        <v>369</v>
      </c>
      <c r="B168" s="10">
        <v>45390</v>
      </c>
      <c r="C168" s="9" t="s">
        <v>271</v>
      </c>
      <c r="D168" s="9" t="s">
        <v>174</v>
      </c>
      <c r="E168" s="9" t="s">
        <v>148</v>
      </c>
      <c r="F168" s="9" t="s">
        <v>164</v>
      </c>
      <c r="G168" s="9">
        <v>7</v>
      </c>
      <c r="H168" s="11">
        <v>0</v>
      </c>
      <c r="I168" s="9" t="s">
        <v>165</v>
      </c>
      <c r="J168" t="str">
        <f>PROPER(TRIM(F168))</f>
        <v>Amit Verma</v>
      </c>
      <c r="K168" t="str">
        <f>PROPER(TRIM(E168))</f>
        <v>West</v>
      </c>
      <c r="L168" t="str">
        <f>TRIM(D168)</f>
        <v>P112</v>
      </c>
      <c r="M168" t="str">
        <f>IFERROR(VLOOKUP(L168,Products!$A$2:$D$21,2,FALSE),"Unknown Product")</f>
        <v>Olive Oil</v>
      </c>
      <c r="N168" t="str">
        <f>IFERROR(VLOOKUP(L168,Products!$A$2:$D$21,3,0),"Unknown ")</f>
        <v>Grocery</v>
      </c>
      <c r="O168">
        <f>IFERROR(VLOOKUP(L168,Products!$A$2:$D$21,4,0),0)</f>
        <v>980</v>
      </c>
      <c r="P168" t="str">
        <f>IFERROR(INDEX(Customers!$C$2:$C$41,MATCH(C168,Customers!$A$2:$A$41,0)),"Unknown City")</f>
        <v>Chennai</v>
      </c>
      <c r="Q168" s="22">
        <f>G168*O168*(1-H168)</f>
        <v>6860</v>
      </c>
      <c r="R168" t="str">
        <f t="shared" si="2"/>
        <v>Apr-2024</v>
      </c>
      <c r="S168" t="str">
        <f>IF(Q168&gt;=50000,"Large",IF(Q168&gt;=20000,"Medium","Small"))</f>
        <v>Small</v>
      </c>
      <c r="T168">
        <f>VLOOKUP(Q168,Commission!$A$2:$B$6,2,TRUE)</f>
        <v>0.02</v>
      </c>
      <c r="U168">
        <f>Q168*T168</f>
        <v>137.20000000000002</v>
      </c>
      <c r="V168" t="str">
        <f>IF(AND(I168="Pending",Q168&gt;20000),"Follow Up","OK")</f>
        <v>OK</v>
      </c>
      <c r="W168" t="str">
        <f>_xlfn.XLOOKUP(C168,Customers!$A$2:$A$41,Customers!$D$2:$D$41)</f>
        <v>Corporate</v>
      </c>
    </row>
    <row r="169" spans="1:23" x14ac:dyDescent="0.3">
      <c r="A169" s="9" t="s">
        <v>407</v>
      </c>
      <c r="B169" s="10">
        <v>45347</v>
      </c>
      <c r="C169" s="9" t="s">
        <v>226</v>
      </c>
      <c r="D169" s="9" t="s">
        <v>151</v>
      </c>
      <c r="E169" s="9" t="s">
        <v>148</v>
      </c>
      <c r="F169" s="9" t="s">
        <v>140</v>
      </c>
      <c r="G169" s="9">
        <v>7</v>
      </c>
      <c r="H169" s="11">
        <v>0.05</v>
      </c>
      <c r="I169" s="9" t="s">
        <v>126</v>
      </c>
      <c r="J169" t="str">
        <f>PROPER(TRIM(F169))</f>
        <v>Pooja Nair</v>
      </c>
      <c r="K169" t="str">
        <f>PROPER(TRIM(E169))</f>
        <v>West</v>
      </c>
      <c r="L169" t="str">
        <f>TRIM(D169)</f>
        <v>P110</v>
      </c>
      <c r="M169" t="str">
        <f>IFERROR(VLOOKUP(L169,Products!$A$2:$D$21,2,FALSE),"Unknown Product")</f>
        <v>Coffee Beans</v>
      </c>
      <c r="N169" t="str">
        <f>IFERROR(VLOOKUP(L169,Products!$A$2:$D$21,3,0),"Unknown ")</f>
        <v>Grocery</v>
      </c>
      <c r="O169">
        <f>IFERROR(VLOOKUP(L169,Products!$A$2:$D$21,4,0),0)</f>
        <v>650</v>
      </c>
      <c r="P169" t="str">
        <f>IFERROR(INDEX(Customers!$C$2:$C$41,MATCH(C169,Customers!$A$2:$A$41,0)),"Unknown City")</f>
        <v>Hyderabad</v>
      </c>
      <c r="Q169" s="22">
        <f>G169*O169*(1-H169)</f>
        <v>4322.5</v>
      </c>
      <c r="R169" t="str">
        <f t="shared" si="2"/>
        <v>Feb-2024</v>
      </c>
      <c r="S169" t="str">
        <f>IF(Q169&gt;=50000,"Large",IF(Q169&gt;=20000,"Medium","Small"))</f>
        <v>Small</v>
      </c>
      <c r="T169">
        <f>VLOOKUP(Q169,Commission!$A$2:$B$6,2,TRUE)</f>
        <v>0.02</v>
      </c>
      <c r="U169">
        <f>Q169*T169</f>
        <v>86.45</v>
      </c>
      <c r="V169" t="str">
        <f>IF(AND(I169="Pending",Q169&gt;20000),"Follow Up","OK")</f>
        <v>OK</v>
      </c>
      <c r="W169" t="str">
        <f>_xlfn.XLOOKUP(C169,Customers!$A$2:$A$41,Customers!$D$2:$D$41)</f>
        <v>Consumer</v>
      </c>
    </row>
    <row r="170" spans="1:23" x14ac:dyDescent="0.3">
      <c r="A170" s="9" t="s">
        <v>158</v>
      </c>
      <c r="B170" s="10">
        <v>45544</v>
      </c>
      <c r="C170" s="9" t="s">
        <v>156</v>
      </c>
      <c r="D170" s="9" t="s">
        <v>159</v>
      </c>
      <c r="E170" s="9" t="s">
        <v>148</v>
      </c>
      <c r="F170" s="9" t="s">
        <v>160</v>
      </c>
      <c r="G170" s="9">
        <v>7</v>
      </c>
      <c r="H170" s="11">
        <v>0</v>
      </c>
      <c r="I170" s="9" t="s">
        <v>126</v>
      </c>
      <c r="J170" t="str">
        <f>PROPER(TRIM(F170))</f>
        <v>Latha Menon</v>
      </c>
      <c r="K170" t="str">
        <f>PROPER(TRIM(E170))</f>
        <v>West</v>
      </c>
      <c r="L170" t="str">
        <f>TRIM(D170)</f>
        <v>P111</v>
      </c>
      <c r="M170" t="str">
        <f>IFERROR(VLOOKUP(L170,Products!$A$2:$D$21,2,FALSE),"Unknown Product")</f>
        <v>Green Tea</v>
      </c>
      <c r="N170" t="str">
        <f>IFERROR(VLOOKUP(L170,Products!$A$2:$D$21,3,0),"Unknown ")</f>
        <v>Grocery</v>
      </c>
      <c r="O170">
        <f>IFERROR(VLOOKUP(L170,Products!$A$2:$D$21,4,0),0)</f>
        <v>420</v>
      </c>
      <c r="P170" t="str">
        <f>IFERROR(INDEX(Customers!$C$2:$C$41,MATCH(C170,Customers!$A$2:$A$41,0)),"Unknown City")</f>
        <v>Hyderabad</v>
      </c>
      <c r="Q170" s="22">
        <f>G170*O170*(1-H170)</f>
        <v>2940</v>
      </c>
      <c r="R170" t="str">
        <f t="shared" si="2"/>
        <v>Sep-2024</v>
      </c>
      <c r="S170" t="str">
        <f>IF(Q170&gt;=50000,"Large",IF(Q170&gt;=20000,"Medium","Small"))</f>
        <v>Small</v>
      </c>
      <c r="T170">
        <f>VLOOKUP(Q170,Commission!$A$2:$B$6,2,TRUE)</f>
        <v>0.02</v>
      </c>
      <c r="U170">
        <f>Q170*T170</f>
        <v>58.800000000000004</v>
      </c>
      <c r="V170" t="str">
        <f>IF(AND(I170="Pending",Q170&gt;20000),"Follow Up","OK")</f>
        <v>OK</v>
      </c>
      <c r="W170" t="str">
        <f>_xlfn.XLOOKUP(C170,Customers!$A$2:$A$41,Customers!$D$2:$D$41)</f>
        <v>Consumer</v>
      </c>
    </row>
    <row r="171" spans="1:23" x14ac:dyDescent="0.3">
      <c r="A171" s="9" t="s">
        <v>309</v>
      </c>
      <c r="B171" s="10">
        <v>45513</v>
      </c>
      <c r="C171" s="9" t="s">
        <v>202</v>
      </c>
      <c r="D171" s="9" t="s">
        <v>275</v>
      </c>
      <c r="E171" s="9" t="s">
        <v>148</v>
      </c>
      <c r="F171" s="9" t="s">
        <v>140</v>
      </c>
      <c r="G171" s="9">
        <v>6</v>
      </c>
      <c r="H171" s="11">
        <v>0.1</v>
      </c>
      <c r="I171" s="9" t="s">
        <v>165</v>
      </c>
      <c r="J171" t="str">
        <f>PROPER(TRIM(F171))</f>
        <v>Pooja Nair</v>
      </c>
      <c r="K171" t="str">
        <f>PROPER(TRIM(E171))</f>
        <v>West</v>
      </c>
      <c r="L171" t="str">
        <f>TRIM(D171)</f>
        <v>P102</v>
      </c>
      <c r="M171" t="str">
        <f>IFERROR(VLOOKUP(L171,Products!$A$2:$D$21,2,FALSE),"Unknown Product")</f>
        <v>Smartphone</v>
      </c>
      <c r="N171" t="str">
        <f>IFERROR(VLOOKUP(L171,Products!$A$2:$D$21,3,0),"Unknown ")</f>
        <v>Electronics</v>
      </c>
      <c r="O171">
        <f>IFERROR(VLOOKUP(L171,Products!$A$2:$D$21,4,0),0)</f>
        <v>28000</v>
      </c>
      <c r="P171" t="str">
        <f>IFERROR(INDEX(Customers!$C$2:$C$41,MATCH(C171,Customers!$A$2:$A$41,0)),"Unknown City")</f>
        <v>Chennai</v>
      </c>
      <c r="Q171" s="22">
        <f>G171*O171*(1-H171)</f>
        <v>151200</v>
      </c>
      <c r="R171" t="str">
        <f t="shared" si="2"/>
        <v>Aug-2024</v>
      </c>
      <c r="S171" t="str">
        <f>IF(Q171&gt;=50000,"Large",IF(Q171&gt;=20000,"Medium","Small"))</f>
        <v>Large</v>
      </c>
      <c r="T171">
        <f>VLOOKUP(Q171,Commission!$A$2:$B$6,2,TRUE)</f>
        <v>0.06</v>
      </c>
      <c r="U171">
        <f>Q171*T171</f>
        <v>9072</v>
      </c>
      <c r="V171" t="str">
        <f>IF(AND(I171="Pending",Q171&gt;20000),"Follow Up","OK")</f>
        <v>Follow Up</v>
      </c>
      <c r="W171" t="str">
        <f>_xlfn.XLOOKUP(C171,Customers!$A$2:$A$41,Customers!$D$2:$D$41)</f>
        <v>Consumer</v>
      </c>
    </row>
    <row r="172" spans="1:23" x14ac:dyDescent="0.3">
      <c r="A172" s="9" t="s">
        <v>191</v>
      </c>
      <c r="B172" s="10">
        <v>45404</v>
      </c>
      <c r="C172" s="9" t="s">
        <v>142</v>
      </c>
      <c r="D172" s="9" t="s">
        <v>192</v>
      </c>
      <c r="E172" s="9" t="s">
        <v>148</v>
      </c>
      <c r="F172" s="9" t="s">
        <v>140</v>
      </c>
      <c r="G172" s="9">
        <v>6</v>
      </c>
      <c r="H172" s="11">
        <v>0</v>
      </c>
      <c r="I172" s="9" t="s">
        <v>165</v>
      </c>
      <c r="J172" t="str">
        <f>PROPER(TRIM(F172))</f>
        <v>Pooja Nair</v>
      </c>
      <c r="K172" t="str">
        <f>PROPER(TRIM(E172))</f>
        <v>West</v>
      </c>
      <c r="L172" t="str">
        <f>TRIM(D172)</f>
        <v>P108</v>
      </c>
      <c r="M172" t="str">
        <f>IFERROR(VLOOKUP(L172,Products!$A$2:$D$21,2,FALSE),"Unknown Product")</f>
        <v>Bookshelf</v>
      </c>
      <c r="N172" t="str">
        <f>IFERROR(VLOOKUP(L172,Products!$A$2:$D$21,3,0),"Unknown ")</f>
        <v>Furniture</v>
      </c>
      <c r="O172">
        <f>IFERROR(VLOOKUP(L172,Products!$A$2:$D$21,4,0),0)</f>
        <v>6200</v>
      </c>
      <c r="P172" t="str">
        <f>IFERROR(INDEX(Customers!$C$2:$C$41,MATCH(C172,Customers!$A$2:$A$41,0)),"Unknown City")</f>
        <v>Bengaluru</v>
      </c>
      <c r="Q172" s="22">
        <f>G172*O172*(1-H172)</f>
        <v>37200</v>
      </c>
      <c r="R172" t="str">
        <f t="shared" si="2"/>
        <v>Apr-2024</v>
      </c>
      <c r="S172" t="str">
        <f>IF(Q172&gt;=50000,"Large",IF(Q172&gt;=20000,"Medium","Small"))</f>
        <v>Medium</v>
      </c>
      <c r="T172">
        <f>VLOOKUP(Q172,Commission!$A$2:$B$6,2,TRUE)</f>
        <v>0.04</v>
      </c>
      <c r="U172">
        <f>Q172*T172</f>
        <v>1488</v>
      </c>
      <c r="V172" t="str">
        <f>IF(AND(I172="Pending",Q172&gt;20000),"Follow Up","OK")</f>
        <v>Follow Up</v>
      </c>
      <c r="W172" t="str">
        <f>_xlfn.XLOOKUP(C172,Customers!$A$2:$A$41,Customers!$D$2:$D$41)</f>
        <v>Consumer</v>
      </c>
    </row>
    <row r="173" spans="1:23" x14ac:dyDescent="0.3">
      <c r="A173" s="9" t="s">
        <v>341</v>
      </c>
      <c r="B173" s="10">
        <v>45323</v>
      </c>
      <c r="C173" s="9" t="s">
        <v>268</v>
      </c>
      <c r="D173" s="9" t="s">
        <v>333</v>
      </c>
      <c r="E173" s="9" t="s">
        <v>148</v>
      </c>
      <c r="F173" s="9" t="s">
        <v>157</v>
      </c>
      <c r="G173" s="9">
        <v>6</v>
      </c>
      <c r="H173" s="11">
        <v>0.1</v>
      </c>
      <c r="I173" s="9" t="s">
        <v>126</v>
      </c>
      <c r="J173" t="str">
        <f>PROPER(TRIM(F173))</f>
        <v>Faisal Khan</v>
      </c>
      <c r="K173" t="str">
        <f>PROPER(TRIM(E173))</f>
        <v>West</v>
      </c>
      <c r="L173" t="str">
        <f>TRIM(D173)</f>
        <v>P103</v>
      </c>
      <c r="M173" t="str">
        <f>IFERROR(VLOOKUP(L173,Products!$A$2:$D$21,2,FALSE),"Unknown Product")</f>
        <v>Headphones</v>
      </c>
      <c r="N173" t="str">
        <f>IFERROR(VLOOKUP(L173,Products!$A$2:$D$21,3,0),"Unknown ")</f>
        <v>Electronics</v>
      </c>
      <c r="O173">
        <f>IFERROR(VLOOKUP(L173,Products!$A$2:$D$21,4,0),0)</f>
        <v>3500</v>
      </c>
      <c r="P173" t="str">
        <f>IFERROR(INDEX(Customers!$C$2:$C$41,MATCH(C173,Customers!$A$2:$A$41,0)),"Unknown City")</f>
        <v>Chennai</v>
      </c>
      <c r="Q173" s="22">
        <f>G173*O173*(1-H173)</f>
        <v>18900</v>
      </c>
      <c r="R173" t="str">
        <f t="shared" si="2"/>
        <v>Feb-2024</v>
      </c>
      <c r="S173" t="str">
        <f>IF(Q173&gt;=50000,"Large",IF(Q173&gt;=20000,"Medium","Small"))</f>
        <v>Small</v>
      </c>
      <c r="T173">
        <f>VLOOKUP(Q173,Commission!$A$2:$B$6,2,TRUE)</f>
        <v>0.03</v>
      </c>
      <c r="U173">
        <f>Q173*T173</f>
        <v>567</v>
      </c>
      <c r="V173" t="str">
        <f>IF(AND(I173="Pending",Q173&gt;20000),"Follow Up","OK")</f>
        <v>OK</v>
      </c>
      <c r="W173" t="str">
        <f>_xlfn.XLOOKUP(C173,Customers!$A$2:$A$41,Customers!$D$2:$D$41)</f>
        <v>Home Office</v>
      </c>
    </row>
    <row r="174" spans="1:23" x14ac:dyDescent="0.3">
      <c r="A174" s="9" t="s">
        <v>397</v>
      </c>
      <c r="B174" s="10">
        <v>45620</v>
      </c>
      <c r="C174" s="9" t="s">
        <v>264</v>
      </c>
      <c r="D174" s="9" t="s">
        <v>189</v>
      </c>
      <c r="E174" s="9" t="s">
        <v>148</v>
      </c>
      <c r="F174" s="9" t="s">
        <v>160</v>
      </c>
      <c r="G174" s="9">
        <v>5</v>
      </c>
      <c r="H174" s="11">
        <v>0.15</v>
      </c>
      <c r="I174" s="9" t="s">
        <v>126</v>
      </c>
      <c r="J174" t="str">
        <f>PROPER(TRIM(F174))</f>
        <v>Latha Menon</v>
      </c>
      <c r="K174" t="str">
        <f>PROPER(TRIM(E174))</f>
        <v>West</v>
      </c>
      <c r="L174" t="str">
        <f>TRIM(D174)</f>
        <v>P115</v>
      </c>
      <c r="M174" t="str">
        <f>IFERROR(VLOOKUP(L174,Products!$A$2:$D$21,2,FALSE),"Unknown Product")</f>
        <v>Jacket</v>
      </c>
      <c r="N174" t="str">
        <f>IFERROR(VLOOKUP(L174,Products!$A$2:$D$21,3,0),"Unknown ")</f>
        <v>Clothing</v>
      </c>
      <c r="O174">
        <f>IFERROR(VLOOKUP(L174,Products!$A$2:$D$21,4,0),0)</f>
        <v>3800</v>
      </c>
      <c r="P174" t="str">
        <f>IFERROR(INDEX(Customers!$C$2:$C$41,MATCH(C174,Customers!$A$2:$A$41,0)),"Unknown City")</f>
        <v>Bengaluru</v>
      </c>
      <c r="Q174" s="22">
        <f>G174*O174*(1-H174)</f>
        <v>16150</v>
      </c>
      <c r="R174" t="str">
        <f t="shared" si="2"/>
        <v>Nov-2024</v>
      </c>
      <c r="S174" t="str">
        <f>IF(Q174&gt;=50000,"Large",IF(Q174&gt;=20000,"Medium","Small"))</f>
        <v>Small</v>
      </c>
      <c r="T174">
        <f>VLOOKUP(Q174,Commission!$A$2:$B$6,2,TRUE)</f>
        <v>0.03</v>
      </c>
      <c r="U174">
        <f>Q174*T174</f>
        <v>484.5</v>
      </c>
      <c r="V174" t="str">
        <f>IF(AND(I174="Pending",Q174&gt;20000),"Follow Up","OK")</f>
        <v>OK</v>
      </c>
      <c r="W174" t="str">
        <f>_xlfn.XLOOKUP(C174,Customers!$A$2:$A$41,Customers!$D$2:$D$41)</f>
        <v>Home Office</v>
      </c>
    </row>
    <row r="175" spans="1:23" x14ac:dyDescent="0.3">
      <c r="A175" s="9" t="s">
        <v>161</v>
      </c>
      <c r="B175" s="10">
        <v>45389</v>
      </c>
      <c r="C175" s="9" t="s">
        <v>162</v>
      </c>
      <c r="D175" s="9" t="s">
        <v>163</v>
      </c>
      <c r="E175" s="9" t="s">
        <v>148</v>
      </c>
      <c r="F175" s="9" t="s">
        <v>164</v>
      </c>
      <c r="G175" s="9">
        <v>5</v>
      </c>
      <c r="H175" s="11">
        <v>0.15</v>
      </c>
      <c r="I175" s="9" t="s">
        <v>165</v>
      </c>
      <c r="J175" t="str">
        <f>PROPER(TRIM(F175))</f>
        <v>Amit Verma</v>
      </c>
      <c r="K175" t="str">
        <f>PROPER(TRIM(E175))</f>
        <v>West</v>
      </c>
      <c r="L175" t="str">
        <f>TRIM(D175)</f>
        <v>P117</v>
      </c>
      <c r="M175" t="str">
        <f>IFERROR(VLOOKUP(L175,Products!$A$2:$D$21,2,FALSE),"Unknown Product")</f>
        <v>T-Shirt Pack</v>
      </c>
      <c r="N175" t="str">
        <f>IFERROR(VLOOKUP(L175,Products!$A$2:$D$21,3,0),"Unknown ")</f>
        <v>Clothing</v>
      </c>
      <c r="O175">
        <f>IFERROR(VLOOKUP(L175,Products!$A$2:$D$21,4,0),0)</f>
        <v>1500</v>
      </c>
      <c r="P175" t="str">
        <f>IFERROR(INDEX(Customers!$C$2:$C$41,MATCH(C175,Customers!$A$2:$A$41,0)),"Unknown City")</f>
        <v>Delhi</v>
      </c>
      <c r="Q175" s="22">
        <f>G175*O175*(1-H175)</f>
        <v>6375</v>
      </c>
      <c r="R175" t="str">
        <f t="shared" si="2"/>
        <v>Apr-2024</v>
      </c>
      <c r="S175" t="str">
        <f>IF(Q175&gt;=50000,"Large",IF(Q175&gt;=20000,"Medium","Small"))</f>
        <v>Small</v>
      </c>
      <c r="T175">
        <f>VLOOKUP(Q175,Commission!$A$2:$B$6,2,TRUE)</f>
        <v>0.02</v>
      </c>
      <c r="U175">
        <f>Q175*T175</f>
        <v>127.5</v>
      </c>
      <c r="V175" t="str">
        <f>IF(AND(I175="Pending",Q175&gt;20000),"Follow Up","OK")</f>
        <v>OK</v>
      </c>
      <c r="W175" t="str">
        <f>_xlfn.XLOOKUP(C175,Customers!$A$2:$A$41,Customers!$D$2:$D$41)</f>
        <v>Home Office</v>
      </c>
    </row>
    <row r="176" spans="1:23" x14ac:dyDescent="0.3">
      <c r="A176" s="9" t="s">
        <v>342</v>
      </c>
      <c r="B176" s="10">
        <v>45374</v>
      </c>
      <c r="C176" s="9" t="s">
        <v>304</v>
      </c>
      <c r="D176" s="9" t="s">
        <v>159</v>
      </c>
      <c r="E176" s="9" t="s">
        <v>148</v>
      </c>
      <c r="F176" s="9" t="s">
        <v>154</v>
      </c>
      <c r="G176" s="9">
        <v>5</v>
      </c>
      <c r="H176" s="11">
        <v>0</v>
      </c>
      <c r="I176" s="9" t="s">
        <v>145</v>
      </c>
      <c r="J176" t="str">
        <f>PROPER(TRIM(F176))</f>
        <v>Kiran Shah</v>
      </c>
      <c r="K176" t="str">
        <f>PROPER(TRIM(E176))</f>
        <v>West</v>
      </c>
      <c r="L176" t="str">
        <f>TRIM(D176)</f>
        <v>P111</v>
      </c>
      <c r="M176" t="str">
        <f>IFERROR(VLOOKUP(L176,Products!$A$2:$D$21,2,FALSE),"Unknown Product")</f>
        <v>Green Tea</v>
      </c>
      <c r="N176" t="str">
        <f>IFERROR(VLOOKUP(L176,Products!$A$2:$D$21,3,0),"Unknown ")</f>
        <v>Grocery</v>
      </c>
      <c r="O176">
        <f>IFERROR(VLOOKUP(L176,Products!$A$2:$D$21,4,0),0)</f>
        <v>420</v>
      </c>
      <c r="P176" t="str">
        <f>IFERROR(INDEX(Customers!$C$2:$C$41,MATCH(C176,Customers!$A$2:$A$41,0)),"Unknown City")</f>
        <v>Chennai</v>
      </c>
      <c r="Q176" s="22">
        <f>G176*O176*(1-H176)</f>
        <v>2100</v>
      </c>
      <c r="R176" t="str">
        <f t="shared" si="2"/>
        <v>Mar-2024</v>
      </c>
      <c r="S176" t="str">
        <f>IF(Q176&gt;=50000,"Large",IF(Q176&gt;=20000,"Medium","Small"))</f>
        <v>Small</v>
      </c>
      <c r="T176">
        <f>VLOOKUP(Q176,Commission!$A$2:$B$6,2,TRUE)</f>
        <v>0.02</v>
      </c>
      <c r="U176">
        <f>Q176*T176</f>
        <v>42</v>
      </c>
      <c r="V176" t="str">
        <f>IF(AND(I176="Pending",Q176&gt;20000),"Follow Up","OK")</f>
        <v>OK</v>
      </c>
      <c r="W176" t="str">
        <f>_xlfn.XLOOKUP(C176,Customers!$A$2:$A$41,Customers!$D$2:$D$41)</f>
        <v>Corporate</v>
      </c>
    </row>
    <row r="177" spans="1:23" x14ac:dyDescent="0.3">
      <c r="A177" s="9" t="s">
        <v>296</v>
      </c>
      <c r="B177" s="10">
        <v>45323</v>
      </c>
      <c r="C177" s="9" t="s">
        <v>184</v>
      </c>
      <c r="D177" s="9" t="s">
        <v>170</v>
      </c>
      <c r="E177" s="9" t="s">
        <v>148</v>
      </c>
      <c r="F177" s="9" t="s">
        <v>154</v>
      </c>
      <c r="G177" s="9">
        <v>4</v>
      </c>
      <c r="H177" s="11">
        <v>0</v>
      </c>
      <c r="I177" s="9" t="s">
        <v>126</v>
      </c>
      <c r="J177" t="str">
        <f>PROPER(TRIM(F177))</f>
        <v>Kiran Shah</v>
      </c>
      <c r="K177" t="str">
        <f>PROPER(TRIM(E177))</f>
        <v>West</v>
      </c>
      <c r="L177" t="str">
        <f>TRIM(D177)</f>
        <v>P101</v>
      </c>
      <c r="M177" t="str">
        <f>IFERROR(VLOOKUP(L177,Products!$A$2:$D$21,2,FALSE),"Unknown Product")</f>
        <v>Laptop</v>
      </c>
      <c r="N177" t="str">
        <f>IFERROR(VLOOKUP(L177,Products!$A$2:$D$21,3,0),"Unknown ")</f>
        <v>Electronics</v>
      </c>
      <c r="O177">
        <f>IFERROR(VLOOKUP(L177,Products!$A$2:$D$21,4,0),0)</f>
        <v>55000</v>
      </c>
      <c r="P177" t="str">
        <f>IFERROR(INDEX(Customers!$C$2:$C$41,MATCH(C177,Customers!$A$2:$A$41,0)),"Unknown City")</f>
        <v>Mumbai</v>
      </c>
      <c r="Q177" s="22">
        <f>G177*O177*(1-H177)</f>
        <v>220000</v>
      </c>
      <c r="R177" t="str">
        <f t="shared" si="2"/>
        <v>Feb-2024</v>
      </c>
      <c r="S177" t="str">
        <f>IF(Q177&gt;=50000,"Large",IF(Q177&gt;=20000,"Medium","Small"))</f>
        <v>Large</v>
      </c>
      <c r="T177">
        <f>VLOOKUP(Q177,Commission!$A$2:$B$6,2,TRUE)</f>
        <v>0.06</v>
      </c>
      <c r="U177">
        <f>Q177*T177</f>
        <v>13200</v>
      </c>
      <c r="V177" t="str">
        <f>IF(AND(I177="Pending",Q177&gt;20000),"Follow Up","OK")</f>
        <v>OK</v>
      </c>
      <c r="W177" t="str">
        <f>_xlfn.XLOOKUP(C177,Customers!$A$2:$A$41,Customers!$D$2:$D$41)</f>
        <v>Home Office</v>
      </c>
    </row>
    <row r="178" spans="1:23" x14ac:dyDescent="0.3">
      <c r="A178" s="9" t="s">
        <v>420</v>
      </c>
      <c r="B178" s="10">
        <v>45379</v>
      </c>
      <c r="C178" s="9" t="s">
        <v>256</v>
      </c>
      <c r="D178" s="9" t="s">
        <v>219</v>
      </c>
      <c r="E178" s="9" t="s">
        <v>148</v>
      </c>
      <c r="F178" s="9" t="s">
        <v>131</v>
      </c>
      <c r="G178" s="9">
        <v>4</v>
      </c>
      <c r="H178" s="11">
        <v>0</v>
      </c>
      <c r="I178" s="9" t="s">
        <v>126</v>
      </c>
      <c r="J178" t="str">
        <f>PROPER(TRIM(F178))</f>
        <v>Reena Joshi</v>
      </c>
      <c r="K178" t="str">
        <f>PROPER(TRIM(E178))</f>
        <v>West</v>
      </c>
      <c r="L178" t="str">
        <f>TRIM(D178)</f>
        <v>P104</v>
      </c>
      <c r="M178" t="str">
        <f>IFERROR(VLOOKUP(L178,Products!$A$2:$D$21,2,FALSE),"Unknown Product")</f>
        <v>Tablet</v>
      </c>
      <c r="N178" t="str">
        <f>IFERROR(VLOOKUP(L178,Products!$A$2:$D$21,3,0),"Unknown ")</f>
        <v>Electronics</v>
      </c>
      <c r="O178">
        <f>IFERROR(VLOOKUP(L178,Products!$A$2:$D$21,4,0),0)</f>
        <v>32000</v>
      </c>
      <c r="P178" t="str">
        <f>IFERROR(INDEX(Customers!$C$2:$C$41,MATCH(C178,Customers!$A$2:$A$41,0)),"Unknown City")</f>
        <v>Bengaluru</v>
      </c>
      <c r="Q178" s="22">
        <f>G178*O178*(1-H178)</f>
        <v>128000</v>
      </c>
      <c r="R178" t="str">
        <f t="shared" si="2"/>
        <v>Mar-2024</v>
      </c>
      <c r="S178" t="str">
        <f>IF(Q178&gt;=50000,"Large",IF(Q178&gt;=20000,"Medium","Small"))</f>
        <v>Large</v>
      </c>
      <c r="T178">
        <f>VLOOKUP(Q178,Commission!$A$2:$B$6,2,TRUE)</f>
        <v>0.06</v>
      </c>
      <c r="U178">
        <f>Q178*T178</f>
        <v>7680</v>
      </c>
      <c r="V178" t="str">
        <f>IF(AND(I178="Pending",Q178&gt;20000),"Follow Up","OK")</f>
        <v>OK</v>
      </c>
      <c r="W178" t="str">
        <f>_xlfn.XLOOKUP(C178,Customers!$A$2:$A$41,Customers!$D$2:$D$41)</f>
        <v>Consumer</v>
      </c>
    </row>
    <row r="179" spans="1:23" x14ac:dyDescent="0.3">
      <c r="A179" s="9" t="s">
        <v>348</v>
      </c>
      <c r="B179" s="10">
        <v>45629</v>
      </c>
      <c r="C179" s="9" t="s">
        <v>169</v>
      </c>
      <c r="D179" s="9" t="s">
        <v>143</v>
      </c>
      <c r="E179" s="9" t="s">
        <v>148</v>
      </c>
      <c r="F179" s="9" t="s">
        <v>135</v>
      </c>
      <c r="G179" s="9">
        <v>4</v>
      </c>
      <c r="H179" s="11">
        <v>0</v>
      </c>
      <c r="I179" s="9" t="s">
        <v>126</v>
      </c>
      <c r="J179" t="str">
        <f>PROPER(TRIM(F179))</f>
        <v>Manoj Das</v>
      </c>
      <c r="K179" t="str">
        <f>PROPER(TRIM(E179))</f>
        <v>West</v>
      </c>
      <c r="L179" t="str">
        <f>TRIM(D179)</f>
        <v>P116</v>
      </c>
      <c r="M179" t="str">
        <f>IFERROR(VLOOKUP(L179,Products!$A$2:$D$21,2,FALSE),"Unknown Product")</f>
        <v>Sneakers</v>
      </c>
      <c r="N179" t="str">
        <f>IFERROR(VLOOKUP(L179,Products!$A$2:$D$21,3,0),"Unknown ")</f>
        <v>Clothing</v>
      </c>
      <c r="O179">
        <f>IFERROR(VLOOKUP(L179,Products!$A$2:$D$21,4,0),0)</f>
        <v>4500</v>
      </c>
      <c r="P179" t="str">
        <f>IFERROR(INDEX(Customers!$C$2:$C$41,MATCH(C179,Customers!$A$2:$A$41,0)),"Unknown City")</f>
        <v>Bengaluru</v>
      </c>
      <c r="Q179" s="22">
        <f>G179*O179*(1-H179)</f>
        <v>18000</v>
      </c>
      <c r="R179" t="str">
        <f t="shared" si="2"/>
        <v>Dec-2024</v>
      </c>
      <c r="S179" t="str">
        <f>IF(Q179&gt;=50000,"Large",IF(Q179&gt;=20000,"Medium","Small"))</f>
        <v>Small</v>
      </c>
      <c r="T179">
        <f>VLOOKUP(Q179,Commission!$A$2:$B$6,2,TRUE)</f>
        <v>0.03</v>
      </c>
      <c r="U179">
        <f>Q179*T179</f>
        <v>540</v>
      </c>
      <c r="V179" t="str">
        <f>IF(AND(I179="Pending",Q179&gt;20000),"Follow Up","OK")</f>
        <v>OK</v>
      </c>
      <c r="W179" t="str">
        <f>_xlfn.XLOOKUP(C179,Customers!$A$2:$A$41,Customers!$D$2:$D$41)</f>
        <v>Consumer</v>
      </c>
    </row>
    <row r="180" spans="1:23" x14ac:dyDescent="0.3">
      <c r="A180" s="9" t="s">
        <v>422</v>
      </c>
      <c r="B180" s="10">
        <v>45329</v>
      </c>
      <c r="C180" s="9" t="s">
        <v>230</v>
      </c>
      <c r="D180" s="9" t="s">
        <v>163</v>
      </c>
      <c r="E180" s="9" t="s">
        <v>148</v>
      </c>
      <c r="F180" s="9" t="s">
        <v>131</v>
      </c>
      <c r="G180" s="9">
        <v>4</v>
      </c>
      <c r="H180" s="11">
        <v>0</v>
      </c>
      <c r="I180" s="9" t="s">
        <v>126</v>
      </c>
      <c r="J180" t="str">
        <f>PROPER(TRIM(F180))</f>
        <v>Reena Joshi</v>
      </c>
      <c r="K180" t="str">
        <f>PROPER(TRIM(E180))</f>
        <v>West</v>
      </c>
      <c r="L180" t="str">
        <f>TRIM(D180)</f>
        <v>P117</v>
      </c>
      <c r="M180" t="str">
        <f>IFERROR(VLOOKUP(L180,Products!$A$2:$D$21,2,FALSE),"Unknown Product")</f>
        <v>T-Shirt Pack</v>
      </c>
      <c r="N180" t="str">
        <f>IFERROR(VLOOKUP(L180,Products!$A$2:$D$21,3,0),"Unknown ")</f>
        <v>Clothing</v>
      </c>
      <c r="O180">
        <f>IFERROR(VLOOKUP(L180,Products!$A$2:$D$21,4,0),0)</f>
        <v>1500</v>
      </c>
      <c r="P180" t="str">
        <f>IFERROR(INDEX(Customers!$C$2:$C$41,MATCH(C180,Customers!$A$2:$A$41,0)),"Unknown City")</f>
        <v>Hyderabad</v>
      </c>
      <c r="Q180" s="22">
        <f>G180*O180*(1-H180)</f>
        <v>6000</v>
      </c>
      <c r="R180" t="str">
        <f t="shared" si="2"/>
        <v>Feb-2024</v>
      </c>
      <c r="S180" t="str">
        <f>IF(Q180&gt;=50000,"Large",IF(Q180&gt;=20000,"Medium","Small"))</f>
        <v>Small</v>
      </c>
      <c r="T180">
        <f>VLOOKUP(Q180,Commission!$A$2:$B$6,2,TRUE)</f>
        <v>0.02</v>
      </c>
      <c r="U180">
        <f>Q180*T180</f>
        <v>120</v>
      </c>
      <c r="V180" t="str">
        <f>IF(AND(I180="Pending",Q180&gt;20000),"Follow Up","OK")</f>
        <v>OK</v>
      </c>
      <c r="W180" t="str">
        <f>_xlfn.XLOOKUP(C180,Customers!$A$2:$A$41,Customers!$D$2:$D$41)</f>
        <v>Corporate</v>
      </c>
    </row>
    <row r="181" spans="1:23" x14ac:dyDescent="0.3">
      <c r="A181" s="9" t="s">
        <v>235</v>
      </c>
      <c r="B181" s="10">
        <v>45531</v>
      </c>
      <c r="C181" s="9" t="s">
        <v>226</v>
      </c>
      <c r="D181" s="9" t="s">
        <v>219</v>
      </c>
      <c r="E181" s="9" t="s">
        <v>148</v>
      </c>
      <c r="F181" s="9" t="s">
        <v>131</v>
      </c>
      <c r="G181" s="9">
        <v>3</v>
      </c>
      <c r="H181" s="11">
        <v>0.15</v>
      </c>
      <c r="I181" s="9" t="s">
        <v>126</v>
      </c>
      <c r="J181" t="str">
        <f>PROPER(TRIM(F181))</f>
        <v>Reena Joshi</v>
      </c>
      <c r="K181" t="str">
        <f>PROPER(TRIM(E181))</f>
        <v>West</v>
      </c>
      <c r="L181" t="str">
        <f>TRIM(D181)</f>
        <v>P104</v>
      </c>
      <c r="M181" t="str">
        <f>IFERROR(VLOOKUP(L181,Products!$A$2:$D$21,2,FALSE),"Unknown Product")</f>
        <v>Tablet</v>
      </c>
      <c r="N181" t="str">
        <f>IFERROR(VLOOKUP(L181,Products!$A$2:$D$21,3,0),"Unknown ")</f>
        <v>Electronics</v>
      </c>
      <c r="O181">
        <f>IFERROR(VLOOKUP(L181,Products!$A$2:$D$21,4,0),0)</f>
        <v>32000</v>
      </c>
      <c r="P181" t="str">
        <f>IFERROR(INDEX(Customers!$C$2:$C$41,MATCH(C181,Customers!$A$2:$A$41,0)),"Unknown City")</f>
        <v>Hyderabad</v>
      </c>
      <c r="Q181" s="22">
        <f>G181*O181*(1-H181)</f>
        <v>81600</v>
      </c>
      <c r="R181" t="str">
        <f t="shared" si="2"/>
        <v>Aug-2024</v>
      </c>
      <c r="S181" t="str">
        <f>IF(Q181&gt;=50000,"Large",IF(Q181&gt;=20000,"Medium","Small"))</f>
        <v>Large</v>
      </c>
      <c r="T181">
        <f>VLOOKUP(Q181,Commission!$A$2:$B$6,2,TRUE)</f>
        <v>0.05</v>
      </c>
      <c r="U181">
        <f>Q181*T181</f>
        <v>4080</v>
      </c>
      <c r="V181" t="str">
        <f>IF(AND(I181="Pending",Q181&gt;20000),"Follow Up","OK")</f>
        <v>OK</v>
      </c>
      <c r="W181" t="str">
        <f>_xlfn.XLOOKUP(C181,Customers!$A$2:$A$41,Customers!$D$2:$D$41)</f>
        <v>Consumer</v>
      </c>
    </row>
    <row r="182" spans="1:23" x14ac:dyDescent="0.3">
      <c r="A182" s="9" t="s">
        <v>265</v>
      </c>
      <c r="B182" s="10">
        <v>45422</v>
      </c>
      <c r="C182" s="9" t="s">
        <v>122</v>
      </c>
      <c r="D182" s="9" t="s">
        <v>123</v>
      </c>
      <c r="E182" s="9" t="s">
        <v>148</v>
      </c>
      <c r="F182" s="9" t="s">
        <v>140</v>
      </c>
      <c r="G182" s="9">
        <v>3</v>
      </c>
      <c r="H182" s="11">
        <v>0</v>
      </c>
      <c r="I182" s="9" t="s">
        <v>126</v>
      </c>
      <c r="J182" t="str">
        <f>PROPER(TRIM(F182))</f>
        <v>Pooja Nair</v>
      </c>
      <c r="K182" t="str">
        <f>PROPER(TRIM(E182))</f>
        <v>West</v>
      </c>
      <c r="L182" t="str">
        <f>TRIM(D182)</f>
        <v>P107</v>
      </c>
      <c r="M182" t="str">
        <f>IFERROR(VLOOKUP(L182,Products!$A$2:$D$21,2,FALSE),"Unknown Product")</f>
        <v>Standing Desk</v>
      </c>
      <c r="N182" t="str">
        <f>IFERROR(VLOOKUP(L182,Products!$A$2:$D$21,3,0),"Unknown ")</f>
        <v>Furniture</v>
      </c>
      <c r="O182">
        <f>IFERROR(VLOOKUP(L182,Products!$A$2:$D$21,4,0),0)</f>
        <v>18000</v>
      </c>
      <c r="P182" t="str">
        <f>IFERROR(INDEX(Customers!$C$2:$C$41,MATCH(C182,Customers!$A$2:$A$41,0)),"Unknown City")</f>
        <v>Pune</v>
      </c>
      <c r="Q182" s="22">
        <f>G182*O182*(1-H182)</f>
        <v>54000</v>
      </c>
      <c r="R182" t="str">
        <f t="shared" si="2"/>
        <v>May-2024</v>
      </c>
      <c r="S182" t="str">
        <f>IF(Q182&gt;=50000,"Large",IF(Q182&gt;=20000,"Medium","Small"))</f>
        <v>Large</v>
      </c>
      <c r="T182">
        <f>VLOOKUP(Q182,Commission!$A$2:$B$6,2,TRUE)</f>
        <v>0.05</v>
      </c>
      <c r="U182">
        <f>Q182*T182</f>
        <v>2700</v>
      </c>
      <c r="V182" t="str">
        <f>IF(AND(I182="Pending",Q182&gt;20000),"Follow Up","OK")</f>
        <v>OK</v>
      </c>
      <c r="W182" t="str">
        <f>_xlfn.XLOOKUP(C182,Customers!$A$2:$A$41,Customers!$D$2:$D$41)</f>
        <v>Corporate</v>
      </c>
    </row>
    <row r="183" spans="1:23" x14ac:dyDescent="0.3">
      <c r="A183" s="9" t="s">
        <v>238</v>
      </c>
      <c r="B183" s="10">
        <v>45594</v>
      </c>
      <c r="C183" s="9" t="s">
        <v>239</v>
      </c>
      <c r="D183" s="9" t="s">
        <v>227</v>
      </c>
      <c r="E183" s="9" t="s">
        <v>148</v>
      </c>
      <c r="F183" s="9" t="s">
        <v>160</v>
      </c>
      <c r="G183" s="9">
        <v>3</v>
      </c>
      <c r="H183" s="11">
        <v>0.1</v>
      </c>
      <c r="I183" s="9" t="s">
        <v>145</v>
      </c>
      <c r="J183" t="str">
        <f>PROPER(TRIM(F183))</f>
        <v>Latha Menon</v>
      </c>
      <c r="K183" t="str">
        <f>PROPER(TRIM(E183))</f>
        <v>West</v>
      </c>
      <c r="L183" t="str">
        <f>TRIM(D183)</f>
        <v>P105</v>
      </c>
      <c r="M183" t="str">
        <f>IFERROR(VLOOKUP(L183,Products!$A$2:$D$21,2,FALSE),"Unknown Product")</f>
        <v>Smartwatch</v>
      </c>
      <c r="N183" t="str">
        <f>IFERROR(VLOOKUP(L183,Products!$A$2:$D$21,3,0),"Unknown ")</f>
        <v>Electronics</v>
      </c>
      <c r="O183">
        <f>IFERROR(VLOOKUP(L183,Products!$A$2:$D$21,4,0),0)</f>
        <v>9500</v>
      </c>
      <c r="P183" t="str">
        <f>IFERROR(INDEX(Customers!$C$2:$C$41,MATCH(C183,Customers!$A$2:$A$41,0)),"Unknown City")</f>
        <v>Kolkata</v>
      </c>
      <c r="Q183" s="22">
        <f>G183*O183*(1-H183)</f>
        <v>25650</v>
      </c>
      <c r="R183" t="str">
        <f t="shared" si="2"/>
        <v>Oct-2024</v>
      </c>
      <c r="S183" t="str">
        <f>IF(Q183&gt;=50000,"Large",IF(Q183&gt;=20000,"Medium","Small"))</f>
        <v>Medium</v>
      </c>
      <c r="T183">
        <f>VLOOKUP(Q183,Commission!$A$2:$B$6,2,TRUE)</f>
        <v>0.04</v>
      </c>
      <c r="U183">
        <f>Q183*T183</f>
        <v>1026</v>
      </c>
      <c r="V183" t="str">
        <f>IF(AND(I183="Pending",Q183&gt;20000),"Follow Up","OK")</f>
        <v>OK</v>
      </c>
      <c r="W183" t="str">
        <f>_xlfn.XLOOKUP(C183,Customers!$A$2:$A$41,Customers!$D$2:$D$41)</f>
        <v>Home Office</v>
      </c>
    </row>
    <row r="184" spans="1:23" x14ac:dyDescent="0.3">
      <c r="A184" s="9" t="s">
        <v>307</v>
      </c>
      <c r="B184" s="10">
        <v>45542</v>
      </c>
      <c r="C184" s="9" t="s">
        <v>239</v>
      </c>
      <c r="D184" s="9" t="s">
        <v>192</v>
      </c>
      <c r="E184" s="9" t="s">
        <v>148</v>
      </c>
      <c r="F184" s="9" t="s">
        <v>131</v>
      </c>
      <c r="G184" s="9">
        <v>3</v>
      </c>
      <c r="H184" s="11">
        <v>0.05</v>
      </c>
      <c r="I184" s="9" t="s">
        <v>165</v>
      </c>
      <c r="J184" t="str">
        <f>PROPER(TRIM(F184))</f>
        <v>Reena Joshi</v>
      </c>
      <c r="K184" t="str">
        <f>PROPER(TRIM(E184))</f>
        <v>West</v>
      </c>
      <c r="L184" t="str">
        <f>TRIM(D184)</f>
        <v>P108</v>
      </c>
      <c r="M184" t="str">
        <f>IFERROR(VLOOKUP(L184,Products!$A$2:$D$21,2,FALSE),"Unknown Product")</f>
        <v>Bookshelf</v>
      </c>
      <c r="N184" t="str">
        <f>IFERROR(VLOOKUP(L184,Products!$A$2:$D$21,3,0),"Unknown ")</f>
        <v>Furniture</v>
      </c>
      <c r="O184">
        <f>IFERROR(VLOOKUP(L184,Products!$A$2:$D$21,4,0),0)</f>
        <v>6200</v>
      </c>
      <c r="P184" t="str">
        <f>IFERROR(INDEX(Customers!$C$2:$C$41,MATCH(C184,Customers!$A$2:$A$41,0)),"Unknown City")</f>
        <v>Kolkata</v>
      </c>
      <c r="Q184" s="22">
        <f>G184*O184*(1-H184)</f>
        <v>17670</v>
      </c>
      <c r="R184" t="str">
        <f t="shared" si="2"/>
        <v>Sep-2024</v>
      </c>
      <c r="S184" t="str">
        <f>IF(Q184&gt;=50000,"Large",IF(Q184&gt;=20000,"Medium","Small"))</f>
        <v>Small</v>
      </c>
      <c r="T184">
        <f>VLOOKUP(Q184,Commission!$A$2:$B$6,2,TRUE)</f>
        <v>0.03</v>
      </c>
      <c r="U184">
        <f>Q184*T184</f>
        <v>530.1</v>
      </c>
      <c r="V184" t="str">
        <f>IF(AND(I184="Pending",Q184&gt;20000),"Follow Up","OK")</f>
        <v>OK</v>
      </c>
      <c r="W184" t="str">
        <f>_xlfn.XLOOKUP(C184,Customers!$A$2:$A$41,Customers!$D$2:$D$41)</f>
        <v>Home Office</v>
      </c>
    </row>
    <row r="185" spans="1:23" x14ac:dyDescent="0.3">
      <c r="A185" s="9" t="s">
        <v>426</v>
      </c>
      <c r="B185" s="10">
        <v>45519</v>
      </c>
      <c r="C185" s="9" t="s">
        <v>223</v>
      </c>
      <c r="D185" s="9" t="s">
        <v>163</v>
      </c>
      <c r="E185" s="9" t="s">
        <v>148</v>
      </c>
      <c r="F185" s="9" t="s">
        <v>388</v>
      </c>
      <c r="G185" s="9">
        <v>3</v>
      </c>
      <c r="H185" s="11">
        <v>0</v>
      </c>
      <c r="I185" s="9" t="s">
        <v>126</v>
      </c>
      <c r="J185" t="str">
        <f>PROPER(TRIM(F185))</f>
        <v>Pooja Nair</v>
      </c>
      <c r="K185" t="str">
        <f>PROPER(TRIM(E185))</f>
        <v>West</v>
      </c>
      <c r="L185" t="str">
        <f>TRIM(D185)</f>
        <v>P117</v>
      </c>
      <c r="M185" t="str">
        <f>IFERROR(VLOOKUP(L185,Products!$A$2:$D$21,2,FALSE),"Unknown Product")</f>
        <v>T-Shirt Pack</v>
      </c>
      <c r="N185" t="str">
        <f>IFERROR(VLOOKUP(L185,Products!$A$2:$D$21,3,0),"Unknown ")</f>
        <v>Clothing</v>
      </c>
      <c r="O185">
        <f>IFERROR(VLOOKUP(L185,Products!$A$2:$D$21,4,0),0)</f>
        <v>1500</v>
      </c>
      <c r="P185" t="str">
        <f>IFERROR(INDEX(Customers!$C$2:$C$41,MATCH(C185,Customers!$A$2:$A$41,0)),"Unknown City")</f>
        <v>Delhi</v>
      </c>
      <c r="Q185" s="22">
        <f>G185*O185*(1-H185)</f>
        <v>4500</v>
      </c>
      <c r="R185" t="str">
        <f t="shared" si="2"/>
        <v>Aug-2024</v>
      </c>
      <c r="S185" t="str">
        <f>IF(Q185&gt;=50000,"Large",IF(Q185&gt;=20000,"Medium","Small"))</f>
        <v>Small</v>
      </c>
      <c r="T185">
        <f>VLOOKUP(Q185,Commission!$A$2:$B$6,2,TRUE)</f>
        <v>0.02</v>
      </c>
      <c r="U185">
        <f>Q185*T185</f>
        <v>90</v>
      </c>
      <c r="V185" t="str">
        <f>IF(AND(I185="Pending",Q185&gt;20000),"Follow Up","OK")</f>
        <v>OK</v>
      </c>
      <c r="W185" t="str">
        <f>_xlfn.XLOOKUP(C185,Customers!$A$2:$A$41,Customers!$D$2:$D$41)</f>
        <v>Home Office</v>
      </c>
    </row>
    <row r="186" spans="1:23" x14ac:dyDescent="0.3">
      <c r="A186" s="9" t="s">
        <v>364</v>
      </c>
      <c r="B186" s="10">
        <v>45360</v>
      </c>
      <c r="C186" s="9" t="s">
        <v>199</v>
      </c>
      <c r="D186" s="9" t="s">
        <v>174</v>
      </c>
      <c r="E186" s="9" t="s">
        <v>148</v>
      </c>
      <c r="F186" s="9" t="s">
        <v>154</v>
      </c>
      <c r="G186" s="9">
        <v>3</v>
      </c>
      <c r="H186" s="11">
        <v>0</v>
      </c>
      <c r="I186" s="9" t="s">
        <v>126</v>
      </c>
      <c r="J186" t="str">
        <f>PROPER(TRIM(F186))</f>
        <v>Kiran Shah</v>
      </c>
      <c r="K186" t="str">
        <f>PROPER(TRIM(E186))</f>
        <v>West</v>
      </c>
      <c r="L186" t="str">
        <f>TRIM(D186)</f>
        <v>P112</v>
      </c>
      <c r="M186" t="str">
        <f>IFERROR(VLOOKUP(L186,Products!$A$2:$D$21,2,FALSE),"Unknown Product")</f>
        <v>Olive Oil</v>
      </c>
      <c r="N186" t="str">
        <f>IFERROR(VLOOKUP(L186,Products!$A$2:$D$21,3,0),"Unknown ")</f>
        <v>Grocery</v>
      </c>
      <c r="O186">
        <f>IFERROR(VLOOKUP(L186,Products!$A$2:$D$21,4,0),0)</f>
        <v>980</v>
      </c>
      <c r="P186" t="str">
        <f>IFERROR(INDEX(Customers!$C$2:$C$41,MATCH(C186,Customers!$A$2:$A$41,0)),"Unknown City")</f>
        <v>Delhi</v>
      </c>
      <c r="Q186" s="22">
        <f>G186*O186*(1-H186)</f>
        <v>2940</v>
      </c>
      <c r="R186" t="str">
        <f t="shared" si="2"/>
        <v>Mar-2024</v>
      </c>
      <c r="S186" t="str">
        <f>IF(Q186&gt;=50000,"Large",IF(Q186&gt;=20000,"Medium","Small"))</f>
        <v>Small</v>
      </c>
      <c r="T186">
        <f>VLOOKUP(Q186,Commission!$A$2:$B$6,2,TRUE)</f>
        <v>0.02</v>
      </c>
      <c r="U186">
        <f>Q186*T186</f>
        <v>58.800000000000004</v>
      </c>
      <c r="V186" t="str">
        <f>IF(AND(I186="Pending",Q186&gt;20000),"Follow Up","OK")</f>
        <v>OK</v>
      </c>
      <c r="W186" t="str">
        <f>_xlfn.XLOOKUP(C186,Customers!$A$2:$A$41,Customers!$D$2:$D$41)</f>
        <v>Consumer</v>
      </c>
    </row>
    <row r="187" spans="1:23" x14ac:dyDescent="0.3">
      <c r="A187" s="9" t="s">
        <v>319</v>
      </c>
      <c r="B187" s="10">
        <v>45559</v>
      </c>
      <c r="C187" s="9" t="s">
        <v>320</v>
      </c>
      <c r="D187" s="9" t="s">
        <v>133</v>
      </c>
      <c r="E187" s="9" t="s">
        <v>148</v>
      </c>
      <c r="F187" s="9" t="s">
        <v>140</v>
      </c>
      <c r="G187" s="9">
        <v>3</v>
      </c>
      <c r="H187" s="11">
        <v>0.05</v>
      </c>
      <c r="I187" s="9" t="s">
        <v>145</v>
      </c>
      <c r="J187" t="str">
        <f>PROPER(TRIM(F187))</f>
        <v>Pooja Nair</v>
      </c>
      <c r="K187" t="str">
        <f>PROPER(TRIM(E187))</f>
        <v>West</v>
      </c>
      <c r="L187" t="str">
        <f>TRIM(D187)</f>
        <v>P114</v>
      </c>
      <c r="M187" t="str">
        <f>IFERROR(VLOOKUP(L187,Products!$A$2:$D$21,2,FALSE),"Unknown Product")</f>
        <v>Almonds 1kg</v>
      </c>
      <c r="N187" t="str">
        <f>IFERROR(VLOOKUP(L187,Products!$A$2:$D$21,3,0),"Unknown ")</f>
        <v>Grocery</v>
      </c>
      <c r="O187">
        <f>IFERROR(VLOOKUP(L187,Products!$A$2:$D$21,4,0),0)</f>
        <v>850</v>
      </c>
      <c r="P187" t="str">
        <f>IFERROR(INDEX(Customers!$C$2:$C$41,MATCH(C187,Customers!$A$2:$A$41,0)),"Unknown City")</f>
        <v>Delhi</v>
      </c>
      <c r="Q187" s="22">
        <f>G187*O187*(1-H187)</f>
        <v>2422.5</v>
      </c>
      <c r="R187" t="str">
        <f t="shared" si="2"/>
        <v>Sep-2024</v>
      </c>
      <c r="S187" t="str">
        <f>IF(Q187&gt;=50000,"Large",IF(Q187&gt;=20000,"Medium","Small"))</f>
        <v>Small</v>
      </c>
      <c r="T187">
        <f>VLOOKUP(Q187,Commission!$A$2:$B$6,2,TRUE)</f>
        <v>0.02</v>
      </c>
      <c r="U187">
        <f>Q187*T187</f>
        <v>48.45</v>
      </c>
      <c r="V187" t="str">
        <f>IF(AND(I187="Pending",Q187&gt;20000),"Follow Up","OK")</f>
        <v>OK</v>
      </c>
      <c r="W187" t="str">
        <f>_xlfn.XLOOKUP(C187,Customers!$A$2:$A$41,Customers!$D$2:$D$41)</f>
        <v>Home Office</v>
      </c>
    </row>
    <row r="188" spans="1:23" x14ac:dyDescent="0.3">
      <c r="A188" s="9" t="s">
        <v>305</v>
      </c>
      <c r="B188" s="10">
        <v>45483</v>
      </c>
      <c r="C188" s="9" t="s">
        <v>169</v>
      </c>
      <c r="D188" s="9" t="s">
        <v>170</v>
      </c>
      <c r="E188" s="9" t="s">
        <v>148</v>
      </c>
      <c r="F188" s="9" t="s">
        <v>140</v>
      </c>
      <c r="G188" s="9">
        <v>2</v>
      </c>
      <c r="H188" s="11">
        <v>0</v>
      </c>
      <c r="I188" s="9" t="s">
        <v>165</v>
      </c>
      <c r="J188" t="str">
        <f>PROPER(TRIM(F188))</f>
        <v>Pooja Nair</v>
      </c>
      <c r="K188" t="str">
        <f>PROPER(TRIM(E188))</f>
        <v>West</v>
      </c>
      <c r="L188" t="str">
        <f>TRIM(D188)</f>
        <v>P101</v>
      </c>
      <c r="M188" t="str">
        <f>IFERROR(VLOOKUP(L188,Products!$A$2:$D$21,2,FALSE),"Unknown Product")</f>
        <v>Laptop</v>
      </c>
      <c r="N188" t="str">
        <f>IFERROR(VLOOKUP(L188,Products!$A$2:$D$21,3,0),"Unknown ")</f>
        <v>Electronics</v>
      </c>
      <c r="O188">
        <f>IFERROR(VLOOKUP(L188,Products!$A$2:$D$21,4,0),0)</f>
        <v>55000</v>
      </c>
      <c r="P188" t="str">
        <f>IFERROR(INDEX(Customers!$C$2:$C$41,MATCH(C188,Customers!$A$2:$A$41,0)),"Unknown City")</f>
        <v>Bengaluru</v>
      </c>
      <c r="Q188" s="22">
        <f>G188*O188*(1-H188)</f>
        <v>110000</v>
      </c>
      <c r="R188" t="str">
        <f t="shared" si="2"/>
        <v>Jul-2024</v>
      </c>
      <c r="S188" t="str">
        <f>IF(Q188&gt;=50000,"Large",IF(Q188&gt;=20000,"Medium","Small"))</f>
        <v>Large</v>
      </c>
      <c r="T188">
        <f>VLOOKUP(Q188,Commission!$A$2:$B$6,2,TRUE)</f>
        <v>0.06</v>
      </c>
      <c r="U188">
        <f>Q188*T188</f>
        <v>6600</v>
      </c>
      <c r="V188" t="str">
        <f>IF(AND(I188="Pending",Q188&gt;20000),"Follow Up","OK")</f>
        <v>Follow Up</v>
      </c>
      <c r="W188" t="str">
        <f>_xlfn.XLOOKUP(C188,Customers!$A$2:$A$41,Customers!$D$2:$D$41)</f>
        <v>Consumer</v>
      </c>
    </row>
    <row r="189" spans="1:23" x14ac:dyDescent="0.3">
      <c r="A189" s="9" t="s">
        <v>355</v>
      </c>
      <c r="B189" s="10">
        <v>45611</v>
      </c>
      <c r="C189" s="9" t="s">
        <v>150</v>
      </c>
      <c r="D189" s="9" t="s">
        <v>170</v>
      </c>
      <c r="E189" s="9" t="s">
        <v>148</v>
      </c>
      <c r="F189" s="9" t="s">
        <v>160</v>
      </c>
      <c r="G189" s="9">
        <v>2</v>
      </c>
      <c r="H189" s="11">
        <v>0.15</v>
      </c>
      <c r="I189" s="9" t="s">
        <v>126</v>
      </c>
      <c r="J189" t="str">
        <f>PROPER(TRIM(F189))</f>
        <v>Latha Menon</v>
      </c>
      <c r="K189" t="str">
        <f>PROPER(TRIM(E189))</f>
        <v>West</v>
      </c>
      <c r="L189" t="str">
        <f>TRIM(D189)</f>
        <v>P101</v>
      </c>
      <c r="M189" t="str">
        <f>IFERROR(VLOOKUP(L189,Products!$A$2:$D$21,2,FALSE),"Unknown Product")</f>
        <v>Laptop</v>
      </c>
      <c r="N189" t="str">
        <f>IFERROR(VLOOKUP(L189,Products!$A$2:$D$21,3,0),"Unknown ")</f>
        <v>Electronics</v>
      </c>
      <c r="O189">
        <f>IFERROR(VLOOKUP(L189,Products!$A$2:$D$21,4,0),0)</f>
        <v>55000</v>
      </c>
      <c r="P189" t="str">
        <f>IFERROR(INDEX(Customers!$C$2:$C$41,MATCH(C189,Customers!$A$2:$A$41,0)),"Unknown City")</f>
        <v>Kolkata</v>
      </c>
      <c r="Q189" s="22">
        <f>G189*O189*(1-H189)</f>
        <v>93500</v>
      </c>
      <c r="R189" t="str">
        <f t="shared" si="2"/>
        <v>Nov-2024</v>
      </c>
      <c r="S189" t="str">
        <f>IF(Q189&gt;=50000,"Large",IF(Q189&gt;=20000,"Medium","Small"))</f>
        <v>Large</v>
      </c>
      <c r="T189">
        <f>VLOOKUP(Q189,Commission!$A$2:$B$6,2,TRUE)</f>
        <v>0.05</v>
      </c>
      <c r="U189">
        <f>Q189*T189</f>
        <v>4675</v>
      </c>
      <c r="V189" t="str">
        <f>IF(AND(I189="Pending",Q189&gt;20000),"Follow Up","OK")</f>
        <v>OK</v>
      </c>
      <c r="W189" t="str">
        <f>_xlfn.XLOOKUP(C189,Customers!$A$2:$A$41,Customers!$D$2:$D$41)</f>
        <v>Corporate</v>
      </c>
    </row>
    <row r="190" spans="1:23" x14ac:dyDescent="0.3">
      <c r="A190" s="9" t="s">
        <v>254</v>
      </c>
      <c r="B190" s="10">
        <v>45364</v>
      </c>
      <c r="C190" s="9" t="s">
        <v>147</v>
      </c>
      <c r="D190" s="9" t="s">
        <v>174</v>
      </c>
      <c r="E190" s="9" t="s">
        <v>176</v>
      </c>
      <c r="F190" s="9" t="s">
        <v>160</v>
      </c>
      <c r="G190" s="9">
        <v>2</v>
      </c>
      <c r="H190" s="11">
        <v>0</v>
      </c>
      <c r="I190" s="9" t="s">
        <v>126</v>
      </c>
      <c r="J190" t="str">
        <f>PROPER(TRIM(F190))</f>
        <v>Latha Menon</v>
      </c>
      <c r="K190" t="str">
        <f>PROPER(TRIM(E190))</f>
        <v>West</v>
      </c>
      <c r="L190" t="str">
        <f>TRIM(D190)</f>
        <v>P112</v>
      </c>
      <c r="M190" t="str">
        <f>IFERROR(VLOOKUP(L190,Products!$A$2:$D$21,2,FALSE),"Unknown Product")</f>
        <v>Olive Oil</v>
      </c>
      <c r="N190" t="str">
        <f>IFERROR(VLOOKUP(L190,Products!$A$2:$D$21,3,0),"Unknown ")</f>
        <v>Grocery</v>
      </c>
      <c r="O190">
        <f>IFERROR(VLOOKUP(L190,Products!$A$2:$D$21,4,0),0)</f>
        <v>980</v>
      </c>
      <c r="P190" t="str">
        <f>IFERROR(INDEX(Customers!$C$2:$C$41,MATCH(C190,Customers!$A$2:$A$41,0)),"Unknown City")</f>
        <v>Hyderabad</v>
      </c>
      <c r="Q190" s="22">
        <f>G190*O190*(1-H190)</f>
        <v>1960</v>
      </c>
      <c r="R190" t="str">
        <f t="shared" si="2"/>
        <v>Mar-2024</v>
      </c>
      <c r="S190" t="str">
        <f>IF(Q190&gt;=50000,"Large",IF(Q190&gt;=20000,"Medium","Small"))</f>
        <v>Small</v>
      </c>
      <c r="T190">
        <f>VLOOKUP(Q190,Commission!$A$2:$B$6,2,TRUE)</f>
        <v>0.02</v>
      </c>
      <c r="U190">
        <f>Q190*T190</f>
        <v>39.200000000000003</v>
      </c>
      <c r="V190" t="str">
        <f>IF(AND(I190="Pending",Q190&gt;20000),"Follow Up","OK")</f>
        <v>OK</v>
      </c>
      <c r="W190" t="str">
        <f>_xlfn.XLOOKUP(C190,Customers!$A$2:$A$41,Customers!$D$2:$D$41)</f>
        <v>Corporate</v>
      </c>
    </row>
    <row r="191" spans="1:23" x14ac:dyDescent="0.3">
      <c r="A191" s="9" t="s">
        <v>373</v>
      </c>
      <c r="B191" s="10">
        <v>45499</v>
      </c>
      <c r="C191" s="9" t="s">
        <v>197</v>
      </c>
      <c r="D191" s="9" t="s">
        <v>151</v>
      </c>
      <c r="E191" s="9" t="s">
        <v>148</v>
      </c>
      <c r="F191" s="9" t="s">
        <v>374</v>
      </c>
      <c r="G191" s="9">
        <v>2</v>
      </c>
      <c r="H191" s="11">
        <v>0</v>
      </c>
      <c r="I191" s="9" t="s">
        <v>126</v>
      </c>
      <c r="J191" t="str">
        <f>PROPER(TRIM(F191))</f>
        <v>Faisal Khan</v>
      </c>
      <c r="K191" t="str">
        <f>PROPER(TRIM(E191))</f>
        <v>West</v>
      </c>
      <c r="L191" t="str">
        <f>TRIM(D191)</f>
        <v>P110</v>
      </c>
      <c r="M191" t="str">
        <f>IFERROR(VLOOKUP(L191,Products!$A$2:$D$21,2,FALSE),"Unknown Product")</f>
        <v>Coffee Beans</v>
      </c>
      <c r="N191" t="str">
        <f>IFERROR(VLOOKUP(L191,Products!$A$2:$D$21,3,0),"Unknown ")</f>
        <v>Grocery</v>
      </c>
      <c r="O191">
        <f>IFERROR(VLOOKUP(L191,Products!$A$2:$D$21,4,0),0)</f>
        <v>650</v>
      </c>
      <c r="P191" t="str">
        <f>IFERROR(INDEX(Customers!$C$2:$C$41,MATCH(C191,Customers!$A$2:$A$41,0)),"Unknown City")</f>
        <v>Chennai</v>
      </c>
      <c r="Q191" s="22">
        <f>G191*O191*(1-H191)</f>
        <v>1300</v>
      </c>
      <c r="R191" t="str">
        <f t="shared" si="2"/>
        <v>Jul-2024</v>
      </c>
      <c r="S191" t="str">
        <f>IF(Q191&gt;=50000,"Large",IF(Q191&gt;=20000,"Medium","Small"))</f>
        <v>Small</v>
      </c>
      <c r="T191">
        <f>VLOOKUP(Q191,Commission!$A$2:$B$6,2,TRUE)</f>
        <v>0.02</v>
      </c>
      <c r="U191">
        <f>Q191*T191</f>
        <v>26</v>
      </c>
      <c r="V191" t="str">
        <f>IF(AND(I191="Pending",Q191&gt;20000),"Follow Up","OK")</f>
        <v>OK</v>
      </c>
      <c r="W191" t="str">
        <f>_xlfn.XLOOKUP(C191,Customers!$A$2:$A$41,Customers!$D$2:$D$41)</f>
        <v>Home Office</v>
      </c>
    </row>
    <row r="192" spans="1:23" x14ac:dyDescent="0.3">
      <c r="A192" s="9" t="s">
        <v>274</v>
      </c>
      <c r="B192" s="10">
        <v>45553</v>
      </c>
      <c r="C192" s="9" t="s">
        <v>202</v>
      </c>
      <c r="D192" s="9" t="s">
        <v>275</v>
      </c>
      <c r="E192" s="9" t="s">
        <v>148</v>
      </c>
      <c r="F192" s="9" t="s">
        <v>276</v>
      </c>
      <c r="G192" s="9">
        <v>1</v>
      </c>
      <c r="H192" s="11">
        <v>0</v>
      </c>
      <c r="I192" s="9" t="s">
        <v>145</v>
      </c>
      <c r="J192" t="str">
        <f>PROPER(TRIM(F192))</f>
        <v>Kiran Shah</v>
      </c>
      <c r="K192" t="str">
        <f>PROPER(TRIM(E192))</f>
        <v>West</v>
      </c>
      <c r="L192" t="str">
        <f>TRIM(D192)</f>
        <v>P102</v>
      </c>
      <c r="M192" t="str">
        <f>IFERROR(VLOOKUP(L192,Products!$A$2:$D$21,2,FALSE),"Unknown Product")</f>
        <v>Smartphone</v>
      </c>
      <c r="N192" t="str">
        <f>IFERROR(VLOOKUP(L192,Products!$A$2:$D$21,3,0),"Unknown ")</f>
        <v>Electronics</v>
      </c>
      <c r="O192">
        <f>IFERROR(VLOOKUP(L192,Products!$A$2:$D$21,4,0),0)</f>
        <v>28000</v>
      </c>
      <c r="P192" t="str">
        <f>IFERROR(INDEX(Customers!$C$2:$C$41,MATCH(C192,Customers!$A$2:$A$41,0)),"Unknown City")</f>
        <v>Chennai</v>
      </c>
      <c r="Q192" s="22">
        <f>G192*O192*(1-H192)</f>
        <v>28000</v>
      </c>
      <c r="R192" t="str">
        <f t="shared" si="2"/>
        <v>Sep-2024</v>
      </c>
      <c r="S192" t="str">
        <f>IF(Q192&gt;=50000,"Large",IF(Q192&gt;=20000,"Medium","Small"))</f>
        <v>Medium</v>
      </c>
      <c r="T192">
        <f>VLOOKUP(Q192,Commission!$A$2:$B$6,2,TRUE)</f>
        <v>0.04</v>
      </c>
      <c r="U192">
        <f>Q192*T192</f>
        <v>1120</v>
      </c>
      <c r="V192" t="str">
        <f>IF(AND(I192="Pending",Q192&gt;20000),"Follow Up","OK")</f>
        <v>OK</v>
      </c>
      <c r="W192" t="str">
        <f>_xlfn.XLOOKUP(C192,Customers!$A$2:$A$41,Customers!$D$2:$D$41)</f>
        <v>Consumer</v>
      </c>
    </row>
    <row r="193" spans="1:23" x14ac:dyDescent="0.3">
      <c r="A193" s="9" t="s">
        <v>385</v>
      </c>
      <c r="B193" s="10">
        <v>45312</v>
      </c>
      <c r="C193" s="9" t="s">
        <v>194</v>
      </c>
      <c r="D193" s="9" t="s">
        <v>275</v>
      </c>
      <c r="E193" s="9" t="s">
        <v>148</v>
      </c>
      <c r="F193" s="9" t="s">
        <v>386</v>
      </c>
      <c r="G193" s="9">
        <v>1</v>
      </c>
      <c r="H193" s="11">
        <v>0</v>
      </c>
      <c r="I193" s="9" t="s">
        <v>126</v>
      </c>
      <c r="J193" t="str">
        <f>PROPER(TRIM(F193))</f>
        <v>Sunita Rao</v>
      </c>
      <c r="K193" t="str">
        <f>PROPER(TRIM(E193))</f>
        <v>West</v>
      </c>
      <c r="L193" t="str">
        <f>TRIM(D193)</f>
        <v>P102</v>
      </c>
      <c r="M193" t="str">
        <f>IFERROR(VLOOKUP(L193,Products!$A$2:$D$21,2,FALSE),"Unknown Product")</f>
        <v>Smartphone</v>
      </c>
      <c r="N193" t="str">
        <f>IFERROR(VLOOKUP(L193,Products!$A$2:$D$21,3,0),"Unknown ")</f>
        <v>Electronics</v>
      </c>
      <c r="O193">
        <f>IFERROR(VLOOKUP(L193,Products!$A$2:$D$21,4,0),0)</f>
        <v>28000</v>
      </c>
      <c r="P193" t="str">
        <f>IFERROR(INDEX(Customers!$C$2:$C$41,MATCH(C193,Customers!$A$2:$A$41,0)),"Unknown City")</f>
        <v>Kolkata</v>
      </c>
      <c r="Q193" s="22">
        <f>G193*O193*(1-H193)</f>
        <v>28000</v>
      </c>
      <c r="R193" t="str">
        <f t="shared" si="2"/>
        <v>Jan-2024</v>
      </c>
      <c r="S193" t="str">
        <f>IF(Q193&gt;=50000,"Large",IF(Q193&gt;=20000,"Medium","Small"))</f>
        <v>Medium</v>
      </c>
      <c r="T193">
        <f>VLOOKUP(Q193,Commission!$A$2:$B$6,2,TRUE)</f>
        <v>0.04</v>
      </c>
      <c r="U193">
        <f>Q193*T193</f>
        <v>1120</v>
      </c>
      <c r="V193" t="str">
        <f>IF(AND(I193="Pending",Q193&gt;20000),"Follow Up","OK")</f>
        <v>OK</v>
      </c>
      <c r="W193" t="str">
        <f>_xlfn.XLOOKUP(C193,Customers!$A$2:$A$41,Customers!$D$2:$D$41)</f>
        <v>Consumer</v>
      </c>
    </row>
    <row r="194" spans="1:23" x14ac:dyDescent="0.3">
      <c r="A194" s="9" t="s">
        <v>365</v>
      </c>
      <c r="B194" s="10">
        <v>45497</v>
      </c>
      <c r="C194" s="9" t="s">
        <v>226</v>
      </c>
      <c r="D194" s="9" t="s">
        <v>123</v>
      </c>
      <c r="E194" s="9" t="s">
        <v>148</v>
      </c>
      <c r="F194" s="9" t="s">
        <v>160</v>
      </c>
      <c r="G194" s="9">
        <v>1</v>
      </c>
      <c r="H194" s="11">
        <v>0</v>
      </c>
      <c r="I194" s="9" t="s">
        <v>126</v>
      </c>
      <c r="J194" t="str">
        <f>PROPER(TRIM(F194))</f>
        <v>Latha Menon</v>
      </c>
      <c r="K194" t="str">
        <f>PROPER(TRIM(E194))</f>
        <v>West</v>
      </c>
      <c r="L194" t="str">
        <f>TRIM(D194)</f>
        <v>P107</v>
      </c>
      <c r="M194" t="str">
        <f>IFERROR(VLOOKUP(L194,Products!$A$2:$D$21,2,FALSE),"Unknown Product")</f>
        <v>Standing Desk</v>
      </c>
      <c r="N194" t="str">
        <f>IFERROR(VLOOKUP(L194,Products!$A$2:$D$21,3,0),"Unknown ")</f>
        <v>Furniture</v>
      </c>
      <c r="O194">
        <f>IFERROR(VLOOKUP(L194,Products!$A$2:$D$21,4,0),0)</f>
        <v>18000</v>
      </c>
      <c r="P194" t="str">
        <f>IFERROR(INDEX(Customers!$C$2:$C$41,MATCH(C194,Customers!$A$2:$A$41,0)),"Unknown City")</f>
        <v>Hyderabad</v>
      </c>
      <c r="Q194" s="22">
        <f>G194*O194*(1-H194)</f>
        <v>18000</v>
      </c>
      <c r="R194" t="str">
        <f t="shared" si="2"/>
        <v>Jul-2024</v>
      </c>
      <c r="S194" t="str">
        <f>IF(Q194&gt;=50000,"Large",IF(Q194&gt;=20000,"Medium","Small"))</f>
        <v>Small</v>
      </c>
      <c r="T194">
        <f>VLOOKUP(Q194,Commission!$A$2:$B$6,2,TRUE)</f>
        <v>0.03</v>
      </c>
      <c r="U194">
        <f>Q194*T194</f>
        <v>540</v>
      </c>
      <c r="V194" t="str">
        <f>IF(AND(I194="Pending",Q194&gt;20000),"Follow Up","OK")</f>
        <v>OK</v>
      </c>
      <c r="W194" t="str">
        <f>_xlfn.XLOOKUP(C194,Customers!$A$2:$A$41,Customers!$D$2:$D$41)</f>
        <v>Consumer</v>
      </c>
    </row>
    <row r="195" spans="1:23" x14ac:dyDescent="0.3">
      <c r="A195" s="9" t="s">
        <v>259</v>
      </c>
      <c r="B195" s="10">
        <v>45604</v>
      </c>
      <c r="C195" s="9" t="s">
        <v>162</v>
      </c>
      <c r="D195" s="9" t="s">
        <v>192</v>
      </c>
      <c r="E195" s="9" t="s">
        <v>148</v>
      </c>
      <c r="F195" s="9" t="s">
        <v>157</v>
      </c>
      <c r="G195" s="9">
        <v>1</v>
      </c>
      <c r="H195" s="11">
        <v>0</v>
      </c>
      <c r="I195" s="9" t="s">
        <v>126</v>
      </c>
      <c r="J195" t="str">
        <f>PROPER(TRIM(F195))</f>
        <v>Faisal Khan</v>
      </c>
      <c r="K195" t="str">
        <f>PROPER(TRIM(E195))</f>
        <v>West</v>
      </c>
      <c r="L195" t="str">
        <f>TRIM(D195)</f>
        <v>P108</v>
      </c>
      <c r="M195" t="str">
        <f>IFERROR(VLOOKUP(L195,Products!$A$2:$D$21,2,FALSE),"Unknown Product")</f>
        <v>Bookshelf</v>
      </c>
      <c r="N195" t="str">
        <f>IFERROR(VLOOKUP(L195,Products!$A$2:$D$21,3,0),"Unknown ")</f>
        <v>Furniture</v>
      </c>
      <c r="O195">
        <f>IFERROR(VLOOKUP(L195,Products!$A$2:$D$21,4,0),0)</f>
        <v>6200</v>
      </c>
      <c r="P195" t="str">
        <f>IFERROR(INDEX(Customers!$C$2:$C$41,MATCH(C195,Customers!$A$2:$A$41,0)),"Unknown City")</f>
        <v>Delhi</v>
      </c>
      <c r="Q195" s="22">
        <f>G195*O195*(1-H195)</f>
        <v>6200</v>
      </c>
      <c r="R195" t="str">
        <f t="shared" ref="R195:R201" si="3">TEXT(B195,"mmm-yyyy")</f>
        <v>Nov-2024</v>
      </c>
      <c r="S195" t="str">
        <f>IF(Q195&gt;=50000,"Large",IF(Q195&gt;=20000,"Medium","Small"))</f>
        <v>Small</v>
      </c>
      <c r="T195">
        <f>VLOOKUP(Q195,Commission!$A$2:$B$6,2,TRUE)</f>
        <v>0.02</v>
      </c>
      <c r="U195">
        <f>Q195*T195</f>
        <v>124</v>
      </c>
      <c r="V195" t="str">
        <f>IF(AND(I195="Pending",Q195&gt;20000),"Follow Up","OK")</f>
        <v>OK</v>
      </c>
      <c r="W195" t="str">
        <f>_xlfn.XLOOKUP(C195,Customers!$A$2:$A$41,Customers!$D$2:$D$41)</f>
        <v>Home Office</v>
      </c>
    </row>
    <row r="196" spans="1:23" x14ac:dyDescent="0.3">
      <c r="A196" s="9" t="s">
        <v>349</v>
      </c>
      <c r="B196" s="10">
        <v>45294</v>
      </c>
      <c r="C196" s="9" t="s">
        <v>178</v>
      </c>
      <c r="D196" s="9" t="s">
        <v>192</v>
      </c>
      <c r="E196" s="9" t="s">
        <v>148</v>
      </c>
      <c r="F196" s="9" t="s">
        <v>160</v>
      </c>
      <c r="G196" s="9">
        <v>1</v>
      </c>
      <c r="H196" s="11">
        <v>0</v>
      </c>
      <c r="I196" s="9" t="s">
        <v>126</v>
      </c>
      <c r="J196" t="str">
        <f>PROPER(TRIM(F196))</f>
        <v>Latha Menon</v>
      </c>
      <c r="K196" t="str">
        <f>PROPER(TRIM(E196))</f>
        <v>West</v>
      </c>
      <c r="L196" t="str">
        <f>TRIM(D196)</f>
        <v>P108</v>
      </c>
      <c r="M196" t="str">
        <f>IFERROR(VLOOKUP(L196,Products!$A$2:$D$21,2,FALSE),"Unknown Product")</f>
        <v>Bookshelf</v>
      </c>
      <c r="N196" t="str">
        <f>IFERROR(VLOOKUP(L196,Products!$A$2:$D$21,3,0),"Unknown ")</f>
        <v>Furniture</v>
      </c>
      <c r="O196">
        <f>IFERROR(VLOOKUP(L196,Products!$A$2:$D$21,4,0),0)</f>
        <v>6200</v>
      </c>
      <c r="P196" t="str">
        <f>IFERROR(INDEX(Customers!$C$2:$C$41,MATCH(C196,Customers!$A$2:$A$41,0)),"Unknown City")</f>
        <v>Kolkata</v>
      </c>
      <c r="Q196" s="22">
        <f>G196*O196*(1-H196)</f>
        <v>6200</v>
      </c>
      <c r="R196" t="str">
        <f t="shared" si="3"/>
        <v>Jan-2024</v>
      </c>
      <c r="S196" t="str">
        <f>IF(Q196&gt;=50000,"Large",IF(Q196&gt;=20000,"Medium","Small"))</f>
        <v>Small</v>
      </c>
      <c r="T196">
        <f>VLOOKUP(Q196,Commission!$A$2:$B$6,2,TRUE)</f>
        <v>0.02</v>
      </c>
      <c r="U196">
        <f>Q196*T196</f>
        <v>124</v>
      </c>
      <c r="V196" t="str">
        <f>IF(AND(I196="Pending",Q196&gt;20000),"Follow Up","OK")</f>
        <v>OK</v>
      </c>
      <c r="W196" t="str">
        <f>_xlfn.XLOOKUP(C196,Customers!$A$2:$A$41,Customers!$D$2:$D$41)</f>
        <v>Corporate</v>
      </c>
    </row>
    <row r="197" spans="1:23" x14ac:dyDescent="0.3">
      <c r="A197" s="9" t="s">
        <v>429</v>
      </c>
      <c r="B197" s="10">
        <v>45614</v>
      </c>
      <c r="C197" s="9" t="s">
        <v>184</v>
      </c>
      <c r="D197" s="9" t="s">
        <v>143</v>
      </c>
      <c r="E197" s="9" t="s">
        <v>148</v>
      </c>
      <c r="F197" s="9" t="s">
        <v>164</v>
      </c>
      <c r="G197" s="9">
        <v>1</v>
      </c>
      <c r="H197" s="11">
        <v>0.05</v>
      </c>
      <c r="I197" s="9" t="s">
        <v>126</v>
      </c>
      <c r="J197" t="str">
        <f>PROPER(TRIM(F197))</f>
        <v>Amit Verma</v>
      </c>
      <c r="K197" t="str">
        <f>PROPER(TRIM(E197))</f>
        <v>West</v>
      </c>
      <c r="L197" t="str">
        <f>TRIM(D197)</f>
        <v>P116</v>
      </c>
      <c r="M197" t="str">
        <f>IFERROR(VLOOKUP(L197,Products!$A$2:$D$21,2,FALSE),"Unknown Product")</f>
        <v>Sneakers</v>
      </c>
      <c r="N197" t="str">
        <f>IFERROR(VLOOKUP(L197,Products!$A$2:$D$21,3,0),"Unknown ")</f>
        <v>Clothing</v>
      </c>
      <c r="O197">
        <f>IFERROR(VLOOKUP(L197,Products!$A$2:$D$21,4,0),0)</f>
        <v>4500</v>
      </c>
      <c r="P197" t="str">
        <f>IFERROR(INDEX(Customers!$C$2:$C$41,MATCH(C197,Customers!$A$2:$A$41,0)),"Unknown City")</f>
        <v>Mumbai</v>
      </c>
      <c r="Q197" s="22">
        <f>G197*O197*(1-H197)</f>
        <v>4275</v>
      </c>
      <c r="R197" t="str">
        <f t="shared" si="3"/>
        <v>Nov-2024</v>
      </c>
      <c r="S197" t="str">
        <f>IF(Q197&gt;=50000,"Large",IF(Q197&gt;=20000,"Medium","Small"))</f>
        <v>Small</v>
      </c>
      <c r="T197">
        <f>VLOOKUP(Q197,Commission!$A$2:$B$6,2,TRUE)</f>
        <v>0.02</v>
      </c>
      <c r="U197">
        <f>Q197*T197</f>
        <v>85.5</v>
      </c>
      <c r="V197" t="str">
        <f>IF(AND(I197="Pending",Q197&gt;20000),"Follow Up","OK")</f>
        <v>OK</v>
      </c>
      <c r="W197" t="str">
        <f>_xlfn.XLOOKUP(C197,Customers!$A$2:$A$41,Customers!$D$2:$D$41)</f>
        <v>Home Office</v>
      </c>
    </row>
    <row r="198" spans="1:23" x14ac:dyDescent="0.3">
      <c r="A198" s="9" t="s">
        <v>187</v>
      </c>
      <c r="B198" s="10">
        <v>45491</v>
      </c>
      <c r="C198" s="9" t="s">
        <v>188</v>
      </c>
      <c r="D198" s="9" t="s">
        <v>189</v>
      </c>
      <c r="E198" s="9" t="s">
        <v>148</v>
      </c>
      <c r="F198" s="9" t="s">
        <v>190</v>
      </c>
      <c r="G198" s="9">
        <v>1</v>
      </c>
      <c r="H198" s="11">
        <v>0</v>
      </c>
      <c r="I198" s="9" t="s">
        <v>145</v>
      </c>
      <c r="J198" t="str">
        <f>PROPER(TRIM(F198))</f>
        <v>Kiran Shah</v>
      </c>
      <c r="K198" t="str">
        <f>PROPER(TRIM(E198))</f>
        <v>West</v>
      </c>
      <c r="L198" t="str">
        <f>TRIM(D198)</f>
        <v>P115</v>
      </c>
      <c r="M198" t="str">
        <f>IFERROR(VLOOKUP(L198,Products!$A$2:$D$21,2,FALSE),"Unknown Product")</f>
        <v>Jacket</v>
      </c>
      <c r="N198" t="str">
        <f>IFERROR(VLOOKUP(L198,Products!$A$2:$D$21,3,0),"Unknown ")</f>
        <v>Clothing</v>
      </c>
      <c r="O198">
        <f>IFERROR(VLOOKUP(L198,Products!$A$2:$D$21,4,0),0)</f>
        <v>3800</v>
      </c>
      <c r="P198" t="str">
        <f>IFERROR(INDEX(Customers!$C$2:$C$41,MATCH(C198,Customers!$A$2:$A$41,0)),"Unknown City")</f>
        <v>Mumbai</v>
      </c>
      <c r="Q198" s="22">
        <f>G198*O198*(1-H198)</f>
        <v>3800</v>
      </c>
      <c r="R198" t="str">
        <f t="shared" si="3"/>
        <v>Jul-2024</v>
      </c>
      <c r="S198" t="str">
        <f>IF(Q198&gt;=50000,"Large",IF(Q198&gt;=20000,"Medium","Small"))</f>
        <v>Small</v>
      </c>
      <c r="T198">
        <f>VLOOKUP(Q198,Commission!$A$2:$B$6,2,TRUE)</f>
        <v>0.02</v>
      </c>
      <c r="U198">
        <f>Q198*T198</f>
        <v>76</v>
      </c>
      <c r="V198" t="str">
        <f>IF(AND(I198="Pending",Q198&gt;20000),"Follow Up","OK")</f>
        <v>OK</v>
      </c>
      <c r="W198" t="str">
        <f>_xlfn.XLOOKUP(C198,Customers!$A$2:$A$41,Customers!$D$2:$D$41)</f>
        <v>Corporate</v>
      </c>
    </row>
    <row r="199" spans="1:23" x14ac:dyDescent="0.3">
      <c r="A199" s="9" t="s">
        <v>387</v>
      </c>
      <c r="B199" s="10">
        <v>45621</v>
      </c>
      <c r="C199" s="9" t="s">
        <v>137</v>
      </c>
      <c r="D199" s="9" t="s">
        <v>138</v>
      </c>
      <c r="E199" s="9" t="s">
        <v>148</v>
      </c>
      <c r="F199" s="9" t="s">
        <v>388</v>
      </c>
      <c r="G199" s="9">
        <v>1</v>
      </c>
      <c r="H199" s="11">
        <v>0.05</v>
      </c>
      <c r="I199" s="9" t="s">
        <v>126</v>
      </c>
      <c r="J199" t="str">
        <f>PROPER(TRIM(F199))</f>
        <v>Pooja Nair</v>
      </c>
      <c r="K199" t="str">
        <f>PROPER(TRIM(E199))</f>
        <v>West</v>
      </c>
      <c r="L199" t="str">
        <f>TRIM(D199)</f>
        <v>P113</v>
      </c>
      <c r="M199" t="str">
        <f>IFERROR(VLOOKUP(L199,Products!$A$2:$D$21,2,FALSE),"Unknown Product")</f>
        <v>Protein Bar Box</v>
      </c>
      <c r="N199" t="str">
        <f>IFERROR(VLOOKUP(L199,Products!$A$2:$D$21,3,0),"Unknown ")</f>
        <v>Grocery</v>
      </c>
      <c r="O199">
        <f>IFERROR(VLOOKUP(L199,Products!$A$2:$D$21,4,0),0)</f>
        <v>1200</v>
      </c>
      <c r="P199" t="str">
        <f>IFERROR(INDEX(Customers!$C$2:$C$41,MATCH(C199,Customers!$A$2:$A$41,0)),"Unknown City")</f>
        <v>Bengaluru</v>
      </c>
      <c r="Q199" s="22">
        <f>G199*O199*(1-H199)</f>
        <v>1140</v>
      </c>
      <c r="R199" t="str">
        <f t="shared" si="3"/>
        <v>Nov-2024</v>
      </c>
      <c r="S199" t="str">
        <f>IF(Q199&gt;=50000,"Large",IF(Q199&gt;=20000,"Medium","Small"))</f>
        <v>Small</v>
      </c>
      <c r="T199">
        <f>VLOOKUP(Q199,Commission!$A$2:$B$6,2,TRUE)</f>
        <v>0.02</v>
      </c>
      <c r="U199">
        <f>Q199*T199</f>
        <v>22.8</v>
      </c>
      <c r="V199" t="str">
        <f>IF(AND(I199="Pending",Q199&gt;20000),"Follow Up","OK")</f>
        <v>OK</v>
      </c>
      <c r="W199" t="str">
        <f>_xlfn.XLOOKUP(C199,Customers!$A$2:$A$41,Customers!$D$2:$D$41)</f>
        <v>Home Office</v>
      </c>
    </row>
    <row r="200" spans="1:23" x14ac:dyDescent="0.3">
      <c r="A200" s="9" t="s">
        <v>301</v>
      </c>
      <c r="B200" s="10">
        <v>45612</v>
      </c>
      <c r="C200" s="9" t="s">
        <v>184</v>
      </c>
      <c r="D200" s="9" t="s">
        <v>246</v>
      </c>
      <c r="E200" s="9" t="s">
        <v>148</v>
      </c>
      <c r="F200" s="9" t="s">
        <v>135</v>
      </c>
      <c r="G200" s="9">
        <v>1</v>
      </c>
      <c r="H200" s="11">
        <v>0.05</v>
      </c>
      <c r="I200" s="9" t="s">
        <v>126</v>
      </c>
      <c r="J200" t="str">
        <f>PROPER(TRIM(F200))</f>
        <v>Manoj Das</v>
      </c>
      <c r="K200" t="str">
        <f>PROPER(TRIM(E200))</f>
        <v>West</v>
      </c>
      <c r="L200" t="str">
        <f>TRIM(D200)</f>
        <v>P999</v>
      </c>
      <c r="M200" t="str">
        <f>IFERROR(VLOOKUP(L200,Products!$A$2:$D$21,2,FALSE),"Unknown Product")</f>
        <v>Unknown Product</v>
      </c>
      <c r="N200" t="str">
        <f>IFERROR(VLOOKUP(L200,Products!$A$2:$D$21,3,0),"Unknown ")</f>
        <v xml:space="preserve">Unknown </v>
      </c>
      <c r="O200">
        <f>IFERROR(VLOOKUP(L200,Products!$A$2:$D$21,4,0),0)</f>
        <v>0</v>
      </c>
      <c r="P200" t="str">
        <f>IFERROR(INDEX(Customers!$C$2:$C$41,MATCH(C200,Customers!$A$2:$A$41,0)),"Unknown City")</f>
        <v>Mumbai</v>
      </c>
      <c r="Q200" s="22">
        <f>G200*O200*(1-H200)</f>
        <v>0</v>
      </c>
      <c r="R200" t="str">
        <f t="shared" si="3"/>
        <v>Nov-2024</v>
      </c>
      <c r="S200" t="str">
        <f>IF(Q200&gt;=50000,"Large",IF(Q200&gt;=20000,"Medium","Small"))</f>
        <v>Small</v>
      </c>
      <c r="T200">
        <f>VLOOKUP(Q200,Commission!$A$2:$B$6,2,TRUE)</f>
        <v>0.02</v>
      </c>
      <c r="U200">
        <f>Q200*T200</f>
        <v>0</v>
      </c>
      <c r="V200" t="str">
        <f>IF(AND(I200="Pending",Q200&gt;20000),"Follow Up","OK")</f>
        <v>OK</v>
      </c>
      <c r="W200" t="str">
        <f>_xlfn.XLOOKUP(C200,Customers!$A$2:$A$41,Customers!$D$2:$D$41)</f>
        <v>Home Office</v>
      </c>
    </row>
    <row r="201" spans="1:23" x14ac:dyDescent="0.3">
      <c r="A201" s="9" t="s">
        <v>394</v>
      </c>
      <c r="B201" s="10">
        <v>45440</v>
      </c>
      <c r="C201" s="9" t="s">
        <v>239</v>
      </c>
      <c r="D201" s="9" t="s">
        <v>185</v>
      </c>
      <c r="E201" s="9" t="s">
        <v>395</v>
      </c>
      <c r="F201" s="9" t="s">
        <v>135</v>
      </c>
      <c r="G201" s="9">
        <v>7</v>
      </c>
      <c r="H201" s="11">
        <v>0</v>
      </c>
      <c r="I201" s="9" t="s">
        <v>126</v>
      </c>
      <c r="J201" t="str">
        <f>PROPER(TRIM(F201))</f>
        <v>Manoj Das</v>
      </c>
      <c r="K201" t="str">
        <f>PROPER(TRIM(E201))</f>
        <v>West</v>
      </c>
      <c r="L201" t="str">
        <f>TRIM(D201)</f>
        <v>P103</v>
      </c>
      <c r="M201" t="str">
        <f>IFERROR(VLOOKUP(L201,Products!$A$2:$D$21,2,FALSE),"Unknown Product")</f>
        <v>Headphones</v>
      </c>
      <c r="N201" t="str">
        <f>IFERROR(VLOOKUP(L201,Products!$A$2:$D$21,3,0),"Unknown ")</f>
        <v>Electronics</v>
      </c>
      <c r="O201">
        <f>IFERROR(VLOOKUP(L201,Products!$A$2:$D$21,4,0),0)</f>
        <v>3500</v>
      </c>
      <c r="P201" t="str">
        <f>IFERROR(INDEX(Customers!$C$2:$C$41,MATCH(C201,Customers!$A$2:$A$41,0)),"Unknown City")</f>
        <v>Kolkata</v>
      </c>
      <c r="Q201" s="22">
        <f>G201*O201*(1-H201)</f>
        <v>24500</v>
      </c>
      <c r="R201" t="str">
        <f t="shared" si="3"/>
        <v>May-2024</v>
      </c>
      <c r="S201" t="str">
        <f>IF(Q201&gt;=50000,"Large",IF(Q201&gt;=20000,"Medium","Small"))</f>
        <v>Medium</v>
      </c>
      <c r="T201">
        <f>VLOOKUP(Q201,Commission!$A$2:$B$6,2,TRUE)</f>
        <v>0.03</v>
      </c>
      <c r="U201">
        <f>Q201*T201</f>
        <v>735</v>
      </c>
      <c r="V201" t="str">
        <f>IF(AND(I201="Pending",Q201&gt;20000),"Follow Up","OK")</f>
        <v>OK</v>
      </c>
      <c r="W201" t="str">
        <f>_xlfn.XLOOKUP(C201,Customers!$A$2:$A$41,Customers!$D$2:$D$41)</f>
        <v>Home Office</v>
      </c>
    </row>
  </sheetData>
  <sortState xmlns:xlrd2="http://schemas.microsoft.com/office/spreadsheetml/2017/richdata2" ref="A2:W201">
    <sortCondition descending="1" ref="O2:O201"/>
  </sortState>
  <conditionalFormatting sqref="Q2:Q201">
    <cfRule type="top10" dxfId="2" priority="2" rank="10"/>
  </conditionalFormatting>
  <conditionalFormatting sqref="V2:V201">
    <cfRule type="containsText" dxfId="1" priority="1" operator="containsText" text="Follow Up">
      <formula>NOT(ISERROR(SEARCH("Follow Up",V2)))</formula>
    </cfRule>
  </conditionalFormatting>
  <pageMargins left="0.75" right="0.75" top="1" bottom="1" header="0.5" footer="0.5"/>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D21"/>
  <sheetViews>
    <sheetView workbookViewId="0"/>
  </sheetViews>
  <sheetFormatPr defaultRowHeight="14.4" x14ac:dyDescent="0.3"/>
  <cols>
    <col min="1" max="1" width="16" customWidth="1"/>
    <col min="2" max="2" width="22" customWidth="1"/>
    <col min="3" max="3" width="16" customWidth="1"/>
    <col min="4" max="4" width="14" customWidth="1"/>
  </cols>
  <sheetData>
    <row r="1" spans="1:4" x14ac:dyDescent="0.3">
      <c r="A1" s="8" t="s">
        <v>101</v>
      </c>
      <c r="B1" s="8" t="s">
        <v>110</v>
      </c>
      <c r="C1" s="8" t="s">
        <v>111</v>
      </c>
      <c r="D1" s="8" t="s">
        <v>112</v>
      </c>
    </row>
    <row r="2" spans="1:4" x14ac:dyDescent="0.3">
      <c r="A2" s="12" t="s">
        <v>170</v>
      </c>
      <c r="B2" s="12" t="s">
        <v>430</v>
      </c>
      <c r="C2" s="12" t="s">
        <v>431</v>
      </c>
      <c r="D2" s="13">
        <v>55000</v>
      </c>
    </row>
    <row r="3" spans="1:4" x14ac:dyDescent="0.3">
      <c r="A3" s="12" t="s">
        <v>275</v>
      </c>
      <c r="B3" s="12" t="s">
        <v>432</v>
      </c>
      <c r="C3" s="12" t="s">
        <v>431</v>
      </c>
      <c r="D3" s="13">
        <v>28000</v>
      </c>
    </row>
    <row r="4" spans="1:4" x14ac:dyDescent="0.3">
      <c r="A4" s="12" t="s">
        <v>185</v>
      </c>
      <c r="B4" s="12" t="s">
        <v>433</v>
      </c>
      <c r="C4" s="12" t="s">
        <v>431</v>
      </c>
      <c r="D4" s="13">
        <v>3500</v>
      </c>
    </row>
    <row r="5" spans="1:4" x14ac:dyDescent="0.3">
      <c r="A5" s="12" t="s">
        <v>219</v>
      </c>
      <c r="B5" s="12" t="s">
        <v>434</v>
      </c>
      <c r="C5" s="12" t="s">
        <v>431</v>
      </c>
      <c r="D5" s="13">
        <v>32000</v>
      </c>
    </row>
    <row r="6" spans="1:4" x14ac:dyDescent="0.3">
      <c r="A6" s="12" t="s">
        <v>227</v>
      </c>
      <c r="B6" s="12" t="s">
        <v>435</v>
      </c>
      <c r="C6" s="12" t="s">
        <v>431</v>
      </c>
      <c r="D6" s="13">
        <v>9500</v>
      </c>
    </row>
    <row r="7" spans="1:4" x14ac:dyDescent="0.3">
      <c r="A7" s="12" t="s">
        <v>209</v>
      </c>
      <c r="B7" s="12" t="s">
        <v>436</v>
      </c>
      <c r="C7" s="12" t="s">
        <v>437</v>
      </c>
      <c r="D7" s="13">
        <v>7500</v>
      </c>
    </row>
    <row r="8" spans="1:4" x14ac:dyDescent="0.3">
      <c r="A8" s="12" t="s">
        <v>123</v>
      </c>
      <c r="B8" s="12" t="s">
        <v>438</v>
      </c>
      <c r="C8" s="12" t="s">
        <v>437</v>
      </c>
      <c r="D8" s="13">
        <v>18000</v>
      </c>
    </row>
    <row r="9" spans="1:4" x14ac:dyDescent="0.3">
      <c r="A9" s="12" t="s">
        <v>192</v>
      </c>
      <c r="B9" s="12" t="s">
        <v>439</v>
      </c>
      <c r="C9" s="12" t="s">
        <v>437</v>
      </c>
      <c r="D9" s="13">
        <v>6200</v>
      </c>
    </row>
    <row r="10" spans="1:4" x14ac:dyDescent="0.3">
      <c r="A10" s="12" t="s">
        <v>261</v>
      </c>
      <c r="B10" s="12" t="s">
        <v>440</v>
      </c>
      <c r="C10" s="12" t="s">
        <v>437</v>
      </c>
      <c r="D10" s="13">
        <v>42000</v>
      </c>
    </row>
    <row r="11" spans="1:4" x14ac:dyDescent="0.3">
      <c r="A11" s="12" t="s">
        <v>151</v>
      </c>
      <c r="B11" s="12" t="s">
        <v>441</v>
      </c>
      <c r="C11" s="12" t="s">
        <v>442</v>
      </c>
      <c r="D11" s="13">
        <v>650</v>
      </c>
    </row>
    <row r="12" spans="1:4" x14ac:dyDescent="0.3">
      <c r="A12" s="12" t="s">
        <v>159</v>
      </c>
      <c r="B12" s="12" t="s">
        <v>443</v>
      </c>
      <c r="C12" s="12" t="s">
        <v>442</v>
      </c>
      <c r="D12" s="13">
        <v>420</v>
      </c>
    </row>
    <row r="13" spans="1:4" x14ac:dyDescent="0.3">
      <c r="A13" s="12" t="s">
        <v>174</v>
      </c>
      <c r="B13" s="12" t="s">
        <v>444</v>
      </c>
      <c r="C13" s="12" t="s">
        <v>442</v>
      </c>
      <c r="D13" s="13">
        <v>980</v>
      </c>
    </row>
    <row r="14" spans="1:4" x14ac:dyDescent="0.3">
      <c r="A14" s="12" t="s">
        <v>138</v>
      </c>
      <c r="B14" s="12" t="s">
        <v>445</v>
      </c>
      <c r="C14" s="12" t="s">
        <v>442</v>
      </c>
      <c r="D14" s="13">
        <v>1200</v>
      </c>
    </row>
    <row r="15" spans="1:4" x14ac:dyDescent="0.3">
      <c r="A15" s="12" t="s">
        <v>133</v>
      </c>
      <c r="B15" s="12" t="s">
        <v>446</v>
      </c>
      <c r="C15" s="12" t="s">
        <v>442</v>
      </c>
      <c r="D15" s="13">
        <v>850</v>
      </c>
    </row>
    <row r="16" spans="1:4" x14ac:dyDescent="0.3">
      <c r="A16" s="12" t="s">
        <v>189</v>
      </c>
      <c r="B16" s="12" t="s">
        <v>447</v>
      </c>
      <c r="C16" s="12" t="s">
        <v>448</v>
      </c>
      <c r="D16" s="13">
        <v>3800</v>
      </c>
    </row>
    <row r="17" spans="1:4" x14ac:dyDescent="0.3">
      <c r="A17" s="12" t="s">
        <v>143</v>
      </c>
      <c r="B17" s="12" t="s">
        <v>449</v>
      </c>
      <c r="C17" s="12" t="s">
        <v>448</v>
      </c>
      <c r="D17" s="13">
        <v>4500</v>
      </c>
    </row>
    <row r="18" spans="1:4" x14ac:dyDescent="0.3">
      <c r="A18" s="12" t="s">
        <v>163</v>
      </c>
      <c r="B18" s="12" t="s">
        <v>450</v>
      </c>
      <c r="C18" s="12" t="s">
        <v>448</v>
      </c>
      <c r="D18" s="13">
        <v>1500</v>
      </c>
    </row>
    <row r="19" spans="1:4" x14ac:dyDescent="0.3">
      <c r="A19" s="12" t="s">
        <v>129</v>
      </c>
      <c r="B19" s="12" t="s">
        <v>451</v>
      </c>
      <c r="C19" s="12" t="s">
        <v>448</v>
      </c>
      <c r="D19" s="13">
        <v>2800</v>
      </c>
    </row>
    <row r="20" spans="1:4" x14ac:dyDescent="0.3">
      <c r="A20" s="12" t="s">
        <v>182</v>
      </c>
      <c r="B20" s="12" t="s">
        <v>452</v>
      </c>
      <c r="C20" s="12" t="s">
        <v>453</v>
      </c>
      <c r="D20" s="13">
        <v>450</v>
      </c>
    </row>
    <row r="21" spans="1:4" x14ac:dyDescent="0.3">
      <c r="A21" s="12" t="s">
        <v>224</v>
      </c>
      <c r="B21" s="12" t="s">
        <v>454</v>
      </c>
      <c r="C21" s="12" t="s">
        <v>453</v>
      </c>
      <c r="D21" s="13">
        <v>620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A1:D41"/>
  <sheetViews>
    <sheetView zoomScale="73" workbookViewId="0">
      <selection activeCell="A2" sqref="A2"/>
    </sheetView>
  </sheetViews>
  <sheetFormatPr defaultRowHeight="14.4" x14ac:dyDescent="0.3"/>
  <cols>
    <col min="1" max="1" width="16" customWidth="1"/>
    <col min="2" max="2" width="22" customWidth="1"/>
    <col min="3" max="3" width="16" customWidth="1"/>
    <col min="4" max="4" width="14" customWidth="1"/>
  </cols>
  <sheetData>
    <row r="1" spans="1:4" x14ac:dyDescent="0.3">
      <c r="A1" s="8" t="s">
        <v>100</v>
      </c>
      <c r="B1" s="8" t="s">
        <v>455</v>
      </c>
      <c r="C1" s="8" t="s">
        <v>456</v>
      </c>
      <c r="D1" s="8" t="s">
        <v>457</v>
      </c>
    </row>
    <row r="2" spans="1:4" x14ac:dyDescent="0.3">
      <c r="A2" s="12" t="s">
        <v>268</v>
      </c>
      <c r="B2" s="12" t="s">
        <v>458</v>
      </c>
      <c r="C2" s="12" t="s">
        <v>459</v>
      </c>
      <c r="D2" s="12" t="s">
        <v>460</v>
      </c>
    </row>
    <row r="3" spans="1:4" x14ac:dyDescent="0.3">
      <c r="A3" s="12" t="s">
        <v>208</v>
      </c>
      <c r="B3" s="12" t="s">
        <v>461</v>
      </c>
      <c r="C3" s="12" t="s">
        <v>462</v>
      </c>
      <c r="D3" s="12" t="s">
        <v>460</v>
      </c>
    </row>
    <row r="4" spans="1:4" x14ac:dyDescent="0.3">
      <c r="A4" s="12" t="s">
        <v>156</v>
      </c>
      <c r="B4" s="12" t="s">
        <v>463</v>
      </c>
      <c r="C4" s="12" t="s">
        <v>464</v>
      </c>
      <c r="D4" s="12" t="s">
        <v>465</v>
      </c>
    </row>
    <row r="5" spans="1:4" x14ac:dyDescent="0.3">
      <c r="A5" s="12" t="s">
        <v>298</v>
      </c>
      <c r="B5" s="12" t="s">
        <v>466</v>
      </c>
      <c r="C5" s="12" t="s">
        <v>467</v>
      </c>
      <c r="D5" s="12" t="s">
        <v>465</v>
      </c>
    </row>
    <row r="6" spans="1:4" x14ac:dyDescent="0.3">
      <c r="A6" s="12" t="s">
        <v>256</v>
      </c>
      <c r="B6" s="12" t="s">
        <v>468</v>
      </c>
      <c r="C6" s="12" t="s">
        <v>467</v>
      </c>
      <c r="D6" s="12" t="s">
        <v>465</v>
      </c>
    </row>
    <row r="7" spans="1:4" x14ac:dyDescent="0.3">
      <c r="A7" s="12" t="s">
        <v>202</v>
      </c>
      <c r="B7" s="12" t="s">
        <v>469</v>
      </c>
      <c r="C7" s="12" t="s">
        <v>459</v>
      </c>
      <c r="D7" s="12" t="s">
        <v>465</v>
      </c>
    </row>
    <row r="8" spans="1:4" x14ac:dyDescent="0.3">
      <c r="A8" s="12" t="s">
        <v>142</v>
      </c>
      <c r="B8" s="12" t="s">
        <v>470</v>
      </c>
      <c r="C8" s="12" t="s">
        <v>467</v>
      </c>
      <c r="D8" s="12" t="s">
        <v>465</v>
      </c>
    </row>
    <row r="9" spans="1:4" x14ac:dyDescent="0.3">
      <c r="A9" s="12" t="s">
        <v>264</v>
      </c>
      <c r="B9" s="12" t="s">
        <v>471</v>
      </c>
      <c r="C9" s="12" t="s">
        <v>467</v>
      </c>
      <c r="D9" s="12" t="s">
        <v>460</v>
      </c>
    </row>
    <row r="10" spans="1:4" x14ac:dyDescent="0.3">
      <c r="A10" s="12" t="s">
        <v>167</v>
      </c>
      <c r="B10" s="12" t="s">
        <v>472</v>
      </c>
      <c r="C10" s="12" t="s">
        <v>467</v>
      </c>
      <c r="D10" s="12" t="s">
        <v>465</v>
      </c>
    </row>
    <row r="11" spans="1:4" x14ac:dyDescent="0.3">
      <c r="A11" s="12" t="s">
        <v>215</v>
      </c>
      <c r="B11" s="12" t="s">
        <v>473</v>
      </c>
      <c r="C11" s="12" t="s">
        <v>462</v>
      </c>
      <c r="D11" s="12" t="s">
        <v>465</v>
      </c>
    </row>
    <row r="12" spans="1:4" x14ac:dyDescent="0.3">
      <c r="A12" s="12" t="s">
        <v>218</v>
      </c>
      <c r="B12" s="12" t="s">
        <v>474</v>
      </c>
      <c r="C12" s="12" t="s">
        <v>475</v>
      </c>
      <c r="D12" s="12" t="s">
        <v>460</v>
      </c>
    </row>
    <row r="13" spans="1:4" x14ac:dyDescent="0.3">
      <c r="A13" s="12" t="s">
        <v>162</v>
      </c>
      <c r="B13" s="12" t="s">
        <v>476</v>
      </c>
      <c r="C13" s="12" t="s">
        <v>477</v>
      </c>
      <c r="D13" s="12" t="s">
        <v>460</v>
      </c>
    </row>
    <row r="14" spans="1:4" x14ac:dyDescent="0.3">
      <c r="A14" s="12" t="s">
        <v>137</v>
      </c>
      <c r="B14" s="12" t="s">
        <v>478</v>
      </c>
      <c r="C14" s="12" t="s">
        <v>467</v>
      </c>
      <c r="D14" s="12" t="s">
        <v>460</v>
      </c>
    </row>
    <row r="15" spans="1:4" x14ac:dyDescent="0.3">
      <c r="A15" s="12" t="s">
        <v>199</v>
      </c>
      <c r="B15" s="12" t="s">
        <v>479</v>
      </c>
      <c r="C15" s="12" t="s">
        <v>477</v>
      </c>
      <c r="D15" s="12" t="s">
        <v>465</v>
      </c>
    </row>
    <row r="16" spans="1:4" x14ac:dyDescent="0.3">
      <c r="A16" s="12" t="s">
        <v>226</v>
      </c>
      <c r="B16" s="12" t="s">
        <v>480</v>
      </c>
      <c r="C16" s="12" t="s">
        <v>464</v>
      </c>
      <c r="D16" s="12" t="s">
        <v>465</v>
      </c>
    </row>
    <row r="17" spans="1:4" x14ac:dyDescent="0.3">
      <c r="A17" s="12" t="s">
        <v>197</v>
      </c>
      <c r="B17" s="12" t="s">
        <v>479</v>
      </c>
      <c r="C17" s="12" t="s">
        <v>459</v>
      </c>
      <c r="D17" s="12" t="s">
        <v>460</v>
      </c>
    </row>
    <row r="18" spans="1:4" x14ac:dyDescent="0.3">
      <c r="A18" s="12" t="s">
        <v>122</v>
      </c>
      <c r="B18" s="12" t="s">
        <v>481</v>
      </c>
      <c r="C18" s="12" t="s">
        <v>462</v>
      </c>
      <c r="D18" s="12" t="s">
        <v>482</v>
      </c>
    </row>
    <row r="19" spans="1:4" x14ac:dyDescent="0.3">
      <c r="A19" s="12" t="s">
        <v>304</v>
      </c>
      <c r="B19" s="12" t="s">
        <v>483</v>
      </c>
      <c r="C19" s="12" t="s">
        <v>459</v>
      </c>
      <c r="D19" s="12" t="s">
        <v>482</v>
      </c>
    </row>
    <row r="20" spans="1:4" x14ac:dyDescent="0.3">
      <c r="A20" s="12" t="s">
        <v>181</v>
      </c>
      <c r="B20" s="12" t="s">
        <v>484</v>
      </c>
      <c r="C20" s="12" t="s">
        <v>462</v>
      </c>
      <c r="D20" s="12" t="s">
        <v>465</v>
      </c>
    </row>
    <row r="21" spans="1:4" x14ac:dyDescent="0.3">
      <c r="A21" s="12" t="s">
        <v>251</v>
      </c>
      <c r="B21" s="12" t="s">
        <v>485</v>
      </c>
      <c r="C21" s="12" t="s">
        <v>467</v>
      </c>
      <c r="D21" s="12" t="s">
        <v>460</v>
      </c>
    </row>
    <row r="22" spans="1:4" x14ac:dyDescent="0.3">
      <c r="A22" s="12" t="s">
        <v>271</v>
      </c>
      <c r="B22" s="12" t="s">
        <v>486</v>
      </c>
      <c r="C22" s="12" t="s">
        <v>459</v>
      </c>
      <c r="D22" s="12" t="s">
        <v>482</v>
      </c>
    </row>
    <row r="23" spans="1:4" x14ac:dyDescent="0.3">
      <c r="A23" s="12" t="s">
        <v>320</v>
      </c>
      <c r="B23" s="12" t="s">
        <v>487</v>
      </c>
      <c r="C23" s="12" t="s">
        <v>477</v>
      </c>
      <c r="D23" s="12" t="s">
        <v>460</v>
      </c>
    </row>
    <row r="24" spans="1:4" x14ac:dyDescent="0.3">
      <c r="A24" s="12" t="s">
        <v>286</v>
      </c>
      <c r="B24" s="12" t="s">
        <v>488</v>
      </c>
      <c r="C24" s="12" t="s">
        <v>464</v>
      </c>
      <c r="D24" s="12" t="s">
        <v>482</v>
      </c>
    </row>
    <row r="25" spans="1:4" x14ac:dyDescent="0.3">
      <c r="A25" s="12" t="s">
        <v>188</v>
      </c>
      <c r="B25" s="12" t="s">
        <v>489</v>
      </c>
      <c r="C25" s="12" t="s">
        <v>475</v>
      </c>
      <c r="D25" s="12" t="s">
        <v>482</v>
      </c>
    </row>
    <row r="26" spans="1:4" x14ac:dyDescent="0.3">
      <c r="A26" s="12" t="s">
        <v>194</v>
      </c>
      <c r="B26" s="12" t="s">
        <v>490</v>
      </c>
      <c r="C26" s="12" t="s">
        <v>491</v>
      </c>
      <c r="D26" s="12" t="s">
        <v>465</v>
      </c>
    </row>
    <row r="27" spans="1:4" x14ac:dyDescent="0.3">
      <c r="A27" s="12" t="s">
        <v>230</v>
      </c>
      <c r="B27" s="12" t="s">
        <v>492</v>
      </c>
      <c r="C27" s="12" t="s">
        <v>464</v>
      </c>
      <c r="D27" s="12" t="s">
        <v>482</v>
      </c>
    </row>
    <row r="28" spans="1:4" x14ac:dyDescent="0.3">
      <c r="A28" s="12" t="s">
        <v>147</v>
      </c>
      <c r="B28" s="12" t="s">
        <v>493</v>
      </c>
      <c r="C28" s="12" t="s">
        <v>464</v>
      </c>
      <c r="D28" s="12" t="s">
        <v>482</v>
      </c>
    </row>
    <row r="29" spans="1:4" x14ac:dyDescent="0.3">
      <c r="A29" s="12" t="s">
        <v>169</v>
      </c>
      <c r="B29" s="12" t="s">
        <v>494</v>
      </c>
      <c r="C29" s="12" t="s">
        <v>467</v>
      </c>
      <c r="D29" s="12" t="s">
        <v>465</v>
      </c>
    </row>
    <row r="30" spans="1:4" x14ac:dyDescent="0.3">
      <c r="A30" s="12" t="s">
        <v>357</v>
      </c>
      <c r="B30" s="12" t="s">
        <v>495</v>
      </c>
      <c r="C30" s="12" t="s">
        <v>491</v>
      </c>
      <c r="D30" s="12" t="s">
        <v>460</v>
      </c>
    </row>
    <row r="31" spans="1:4" x14ac:dyDescent="0.3">
      <c r="A31" s="12" t="s">
        <v>239</v>
      </c>
      <c r="B31" s="12" t="s">
        <v>496</v>
      </c>
      <c r="C31" s="12" t="s">
        <v>491</v>
      </c>
      <c r="D31" s="12" t="s">
        <v>460</v>
      </c>
    </row>
    <row r="32" spans="1:4" x14ac:dyDescent="0.3">
      <c r="A32" s="12" t="s">
        <v>178</v>
      </c>
      <c r="B32" s="12" t="s">
        <v>497</v>
      </c>
      <c r="C32" s="12" t="s">
        <v>491</v>
      </c>
      <c r="D32" s="12" t="s">
        <v>482</v>
      </c>
    </row>
    <row r="33" spans="1:4" x14ac:dyDescent="0.3">
      <c r="A33" s="12" t="s">
        <v>360</v>
      </c>
      <c r="B33" s="12" t="s">
        <v>474</v>
      </c>
      <c r="C33" s="12" t="s">
        <v>491</v>
      </c>
      <c r="D33" s="12" t="s">
        <v>482</v>
      </c>
    </row>
    <row r="34" spans="1:4" x14ac:dyDescent="0.3">
      <c r="A34" s="12" t="s">
        <v>128</v>
      </c>
      <c r="B34" s="12" t="s">
        <v>498</v>
      </c>
      <c r="C34" s="12" t="s">
        <v>477</v>
      </c>
      <c r="D34" s="12" t="s">
        <v>465</v>
      </c>
    </row>
    <row r="35" spans="1:4" x14ac:dyDescent="0.3">
      <c r="A35" s="12" t="s">
        <v>173</v>
      </c>
      <c r="B35" s="12" t="s">
        <v>499</v>
      </c>
      <c r="C35" s="12" t="s">
        <v>459</v>
      </c>
      <c r="D35" s="12" t="s">
        <v>465</v>
      </c>
    </row>
    <row r="36" spans="1:4" x14ac:dyDescent="0.3">
      <c r="A36" s="12" t="s">
        <v>184</v>
      </c>
      <c r="B36" s="12" t="s">
        <v>500</v>
      </c>
      <c r="C36" s="12" t="s">
        <v>475</v>
      </c>
      <c r="D36" s="12" t="s">
        <v>460</v>
      </c>
    </row>
    <row r="37" spans="1:4" x14ac:dyDescent="0.3">
      <c r="A37" s="12" t="s">
        <v>221</v>
      </c>
      <c r="B37" s="12" t="s">
        <v>501</v>
      </c>
      <c r="C37" s="12" t="s">
        <v>459</v>
      </c>
      <c r="D37" s="12" t="s">
        <v>482</v>
      </c>
    </row>
    <row r="38" spans="1:4" x14ac:dyDescent="0.3">
      <c r="A38" s="12" t="s">
        <v>300</v>
      </c>
      <c r="B38" s="12" t="s">
        <v>502</v>
      </c>
      <c r="C38" s="12" t="s">
        <v>459</v>
      </c>
      <c r="D38" s="12" t="s">
        <v>482</v>
      </c>
    </row>
    <row r="39" spans="1:4" x14ac:dyDescent="0.3">
      <c r="A39" s="12" t="s">
        <v>233</v>
      </c>
      <c r="B39" s="12" t="s">
        <v>503</v>
      </c>
      <c r="C39" s="12" t="s">
        <v>475</v>
      </c>
      <c r="D39" s="12" t="s">
        <v>482</v>
      </c>
    </row>
    <row r="40" spans="1:4" x14ac:dyDescent="0.3">
      <c r="A40" s="12" t="s">
        <v>223</v>
      </c>
      <c r="B40" s="12" t="s">
        <v>504</v>
      </c>
      <c r="C40" s="12" t="s">
        <v>477</v>
      </c>
      <c r="D40" s="12" t="s">
        <v>460</v>
      </c>
    </row>
    <row r="41" spans="1:4" x14ac:dyDescent="0.3">
      <c r="A41" s="12" t="s">
        <v>150</v>
      </c>
      <c r="B41" s="12" t="s">
        <v>505</v>
      </c>
      <c r="C41" s="12" t="s">
        <v>491</v>
      </c>
      <c r="D41" s="12" t="s">
        <v>482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B6"/>
  <sheetViews>
    <sheetView workbookViewId="0"/>
  </sheetViews>
  <sheetFormatPr defaultRowHeight="14.4" x14ac:dyDescent="0.3"/>
  <cols>
    <col min="1" max="1" width="16" customWidth="1"/>
    <col min="2" max="2" width="22" customWidth="1"/>
    <col min="3" max="3" width="16" customWidth="1"/>
    <col min="4" max="4" width="14" customWidth="1"/>
  </cols>
  <sheetData>
    <row r="1" spans="1:2" x14ac:dyDescent="0.3">
      <c r="A1" s="8" t="s">
        <v>506</v>
      </c>
      <c r="B1" s="8" t="s">
        <v>507</v>
      </c>
    </row>
    <row r="2" spans="1:2" x14ac:dyDescent="0.3">
      <c r="A2" s="13">
        <v>0</v>
      </c>
      <c r="B2" s="14">
        <v>0.02</v>
      </c>
    </row>
    <row r="3" spans="1:2" x14ac:dyDescent="0.3">
      <c r="A3" s="13">
        <v>10000</v>
      </c>
      <c r="B3" s="14">
        <v>0.03</v>
      </c>
    </row>
    <row r="4" spans="1:2" x14ac:dyDescent="0.3">
      <c r="A4" s="13">
        <v>25000</v>
      </c>
      <c r="B4" s="14">
        <v>0.04</v>
      </c>
    </row>
    <row r="5" spans="1:2" x14ac:dyDescent="0.3">
      <c r="A5" s="13">
        <v>50000</v>
      </c>
      <c r="B5" s="14">
        <v>0.05</v>
      </c>
    </row>
    <row r="6" spans="1:2" x14ac:dyDescent="0.3">
      <c r="A6" s="13">
        <v>100000</v>
      </c>
      <c r="B6" s="14">
        <v>0.06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2060"/>
  </sheetPr>
  <dimension ref="A1:D17"/>
  <sheetViews>
    <sheetView workbookViewId="0">
      <selection activeCell="B8" sqref="B8"/>
    </sheetView>
  </sheetViews>
  <sheetFormatPr defaultRowHeight="14.4" x14ac:dyDescent="0.3"/>
  <cols>
    <col min="1" max="1" width="50.109375" bestFit="1" customWidth="1"/>
    <col min="2" max="2" width="18" customWidth="1"/>
    <col min="3" max="3" width="16" customWidth="1"/>
    <col min="4" max="4" width="22" customWidth="1"/>
  </cols>
  <sheetData>
    <row r="1" spans="1:4" ht="16.8" x14ac:dyDescent="0.3">
      <c r="A1" s="15" t="s">
        <v>508</v>
      </c>
    </row>
    <row r="4" spans="1:4" x14ac:dyDescent="0.3">
      <c r="A4" s="16" t="s">
        <v>509</v>
      </c>
      <c r="B4" s="17">
        <f>9</f>
        <v>9</v>
      </c>
    </row>
    <row r="7" spans="1:4" x14ac:dyDescent="0.3">
      <c r="A7" s="18" t="s">
        <v>102</v>
      </c>
      <c r="B7" s="18" t="s">
        <v>510</v>
      </c>
      <c r="C7" s="18" t="s">
        <v>511</v>
      </c>
      <c r="D7" s="18" t="s">
        <v>512</v>
      </c>
    </row>
    <row r="8" spans="1:4" x14ac:dyDescent="0.3">
      <c r="A8" s="9" t="s">
        <v>186</v>
      </c>
      <c r="B8" s="19">
        <f>SUMIFS(Orders!Q:Q,Orders!K:K,A8)</f>
        <v>3440069</v>
      </c>
      <c r="C8" s="17">
        <f>COUNTIFS(Orders!K:K,A8)</f>
        <v>49</v>
      </c>
      <c r="D8" s="19">
        <f>AVERAGEIFS(Orders!Q:Q,Orders!K:K,A8)</f>
        <v>70205.489795918373</v>
      </c>
    </row>
    <row r="9" spans="1:4" x14ac:dyDescent="0.3">
      <c r="A9" s="9" t="s">
        <v>130</v>
      </c>
      <c r="B9" s="19">
        <f>SUMIFS(Orders!Q:Q,Orders!K:K,A9)</f>
        <v>1627541.5</v>
      </c>
      <c r="C9" s="17">
        <f>COUNTIFS(Orders!K:K,A9)</f>
        <v>49</v>
      </c>
      <c r="D9" s="19">
        <f>AVERAGEIFS(Orders!Q:Q,Orders!K:K,A9)</f>
        <v>33215.132653061228</v>
      </c>
    </row>
    <row r="10" spans="1:4" x14ac:dyDescent="0.3">
      <c r="A10" s="9" t="s">
        <v>124</v>
      </c>
      <c r="B10" s="19">
        <f>SUMIFS(Orders!Q:Q,Orders!K:K,A10)</f>
        <v>2513464.5</v>
      </c>
      <c r="C10" s="17">
        <f>COUNTIFS(Orders!K:K,A10)</f>
        <v>46</v>
      </c>
      <c r="D10" s="19">
        <f>AVERAGEIFS(Orders!Q:Q,Orders!K:K,A10)</f>
        <v>54640.532608695656</v>
      </c>
    </row>
    <row r="11" spans="1:4" x14ac:dyDescent="0.3">
      <c r="A11" s="9" t="s">
        <v>148</v>
      </c>
      <c r="B11" s="19">
        <f>SUMIFS(Orders!Q:Q,Orders!K:K,A11)</f>
        <v>4001330</v>
      </c>
      <c r="C11" s="17">
        <f>COUNTIFS(Orders!K:K,A11)</f>
        <v>56</v>
      </c>
      <c r="D11" s="19">
        <f>AVERAGEIFS(Orders!Q:Q,Orders!K:K,A11)</f>
        <v>71452.321428571435</v>
      </c>
    </row>
    <row r="12" spans="1:4" x14ac:dyDescent="0.3">
      <c r="A12" s="16" t="s">
        <v>513</v>
      </c>
      <c r="B12" s="19">
        <f>SUM(B8:B11)</f>
        <v>11582405</v>
      </c>
      <c r="C12" s="17">
        <f>SUM(C8:C11)</f>
        <v>200</v>
      </c>
      <c r="D12" s="19">
        <f>B12/C12</f>
        <v>57912.025000000001</v>
      </c>
    </row>
    <row r="14" spans="1:4" x14ac:dyDescent="0.3">
      <c r="A14" s="16" t="s">
        <v>514</v>
      </c>
      <c r="B14" s="17" t="s">
        <v>124</v>
      </c>
    </row>
    <row r="15" spans="1:4" x14ac:dyDescent="0.3">
      <c r="A15" s="16" t="s">
        <v>515</v>
      </c>
      <c r="B15" s="19">
        <f>SUMIFS(Orders!Q:Q,Orders!K:K,B14)</f>
        <v>2513464.5</v>
      </c>
    </row>
    <row r="17" spans="1:2" x14ac:dyDescent="0.3">
      <c r="A17" s="16" t="s">
        <v>516</v>
      </c>
      <c r="B17" s="19">
        <f>SUMIFS(Orders!Q:Q,Orders!K:K,B14,Orders!S:S,"Large")</f>
        <v>2119100</v>
      </c>
    </row>
  </sheetData>
  <dataValidations count="1">
    <dataValidation type="list" allowBlank="1" sqref="B14" xr:uid="{00000000-0002-0000-0500-000000000000}">
      <formula1>"North,South,East,West"</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E4C3D-C6F7-42B7-84A3-BA09D8A0D607}">
  <sheetPr>
    <tabColor rgb="FF00B0F0"/>
  </sheetPr>
  <dimension ref="A3:B5"/>
  <sheetViews>
    <sheetView workbookViewId="0">
      <selection activeCell="C21" sqref="C21"/>
    </sheetView>
  </sheetViews>
  <sheetFormatPr defaultRowHeight="14.4" x14ac:dyDescent="0.3"/>
  <cols>
    <col min="1" max="1" width="14.6640625" bestFit="1" customWidth="1"/>
    <col min="2" max="2" width="13.21875" bestFit="1" customWidth="1"/>
  </cols>
  <sheetData>
    <row r="3" spans="1:2" x14ac:dyDescent="0.3">
      <c r="A3" s="20" t="s">
        <v>108</v>
      </c>
      <c r="B3" t="s">
        <v>510</v>
      </c>
    </row>
    <row r="4" spans="1:2" x14ac:dyDescent="0.3">
      <c r="A4" t="s">
        <v>186</v>
      </c>
      <c r="B4" s="22">
        <v>3440069</v>
      </c>
    </row>
    <row r="5" spans="1:2" x14ac:dyDescent="0.3">
      <c r="A5" t="s">
        <v>513</v>
      </c>
      <c r="B5" s="22">
        <v>3440069</v>
      </c>
    </row>
  </sheetData>
  <pageMargins left="0.7" right="0.7" top="0.75" bottom="0.75" header="0.3" footer="0.3"/>
  <pageSetup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6714C-0CD2-4517-B405-FB28C09B0F28}">
  <sheetPr>
    <tabColor theme="3"/>
  </sheetPr>
  <dimension ref="A1:B9"/>
  <sheetViews>
    <sheetView workbookViewId="0">
      <selection activeCell="A3" sqref="A3:B9"/>
    </sheetView>
  </sheetViews>
  <sheetFormatPr defaultRowHeight="14.4" x14ac:dyDescent="0.3"/>
  <cols>
    <col min="1" max="1" width="19" bestFit="1" customWidth="1"/>
    <col min="2" max="3" width="14.88671875" bestFit="1" customWidth="1"/>
  </cols>
  <sheetData>
    <row r="1" spans="1:2" x14ac:dyDescent="0.3">
      <c r="A1" s="23" t="s">
        <v>523</v>
      </c>
      <c r="B1" s="23"/>
    </row>
    <row r="3" spans="1:2" x14ac:dyDescent="0.3">
      <c r="A3" s="20" t="s">
        <v>107</v>
      </c>
      <c r="B3" t="s">
        <v>517</v>
      </c>
    </row>
    <row r="4" spans="1:2" x14ac:dyDescent="0.3">
      <c r="A4" t="s">
        <v>160</v>
      </c>
      <c r="B4" s="22">
        <v>845049</v>
      </c>
    </row>
    <row r="5" spans="1:2" x14ac:dyDescent="0.3">
      <c r="A5" t="s">
        <v>154</v>
      </c>
      <c r="B5" s="22">
        <v>769560</v>
      </c>
    </row>
    <row r="6" spans="1:2" x14ac:dyDescent="0.3">
      <c r="A6" t="s">
        <v>206</v>
      </c>
      <c r="B6" s="22">
        <v>617676</v>
      </c>
    </row>
    <row r="7" spans="1:2" x14ac:dyDescent="0.3">
      <c r="A7" t="s">
        <v>164</v>
      </c>
      <c r="B7" s="22">
        <v>551680</v>
      </c>
    </row>
    <row r="8" spans="1:2" x14ac:dyDescent="0.3">
      <c r="A8" t="s">
        <v>135</v>
      </c>
      <c r="B8" s="22">
        <v>254935</v>
      </c>
    </row>
    <row r="9" spans="1:2" x14ac:dyDescent="0.3">
      <c r="A9" t="s">
        <v>513</v>
      </c>
      <c r="B9" s="22">
        <v>3038900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B4D9D-0739-4DBE-9421-43CF8DC7352A}">
  <sheetPr>
    <tabColor rgb="FFFFC000"/>
  </sheetPr>
  <dimension ref="A3:C10"/>
  <sheetViews>
    <sheetView workbookViewId="0">
      <selection activeCell="J22" sqref="J22"/>
    </sheetView>
  </sheetViews>
  <sheetFormatPr defaultRowHeight="14.4" x14ac:dyDescent="0.3"/>
  <cols>
    <col min="1" max="1" width="14.88671875" bestFit="1" customWidth="1"/>
    <col min="2" max="2" width="10" bestFit="1" customWidth="1"/>
    <col min="3" max="3" width="10.77734375" bestFit="1" customWidth="1"/>
    <col min="4" max="4" width="8.6640625" bestFit="1" customWidth="1"/>
    <col min="5" max="5" width="9" bestFit="1" customWidth="1"/>
    <col min="6" max="6" width="9.6640625" bestFit="1" customWidth="1"/>
    <col min="7" max="7" width="11" bestFit="1" customWidth="1"/>
    <col min="8" max="8" width="8.6640625" bestFit="1" customWidth="1"/>
    <col min="9" max="9" width="7.5546875" bestFit="1" customWidth="1"/>
    <col min="10" max="10" width="9.6640625" bestFit="1" customWidth="1"/>
    <col min="11" max="11" width="10.77734375" bestFit="1" customWidth="1"/>
    <col min="12" max="12" width="10" bestFit="1" customWidth="1"/>
    <col min="13" max="13" width="8.6640625" bestFit="1" customWidth="1"/>
    <col min="14" max="14" width="7.5546875" bestFit="1" customWidth="1"/>
    <col min="15" max="15" width="10.6640625" bestFit="1" customWidth="1"/>
    <col min="16" max="16" width="10" bestFit="1" customWidth="1"/>
    <col min="17" max="17" width="8.6640625" bestFit="1" customWidth="1"/>
    <col min="18" max="18" width="8" bestFit="1" customWidth="1"/>
    <col min="19" max="19" width="9.6640625" bestFit="1" customWidth="1"/>
    <col min="20" max="20" width="9.88671875" bestFit="1" customWidth="1"/>
    <col min="21" max="21" width="10" bestFit="1" customWidth="1"/>
    <col min="22" max="22" width="8.6640625" bestFit="1" customWidth="1"/>
    <col min="23" max="23" width="7.5546875" bestFit="1" customWidth="1"/>
    <col min="24" max="24" width="10.5546875" bestFit="1" customWidth="1"/>
    <col min="25" max="25" width="8.6640625" bestFit="1" customWidth="1"/>
    <col min="26" max="26" width="7.5546875" bestFit="1" customWidth="1"/>
    <col min="27" max="27" width="11.109375" bestFit="1" customWidth="1"/>
    <col min="28" max="28" width="10" bestFit="1" customWidth="1"/>
    <col min="29" max="29" width="8.6640625" bestFit="1" customWidth="1"/>
    <col min="30" max="30" width="7.5546875" bestFit="1" customWidth="1"/>
    <col min="31" max="31" width="9.6640625" bestFit="1" customWidth="1"/>
    <col min="32" max="32" width="11.44140625" bestFit="1" customWidth="1"/>
    <col min="33" max="33" width="10" bestFit="1" customWidth="1"/>
    <col min="34" max="34" width="8.6640625" bestFit="1" customWidth="1"/>
    <col min="35" max="35" width="9.6640625" bestFit="1" customWidth="1"/>
    <col min="36" max="36" width="11.109375" bestFit="1" customWidth="1"/>
    <col min="37" max="37" width="10" bestFit="1" customWidth="1"/>
    <col min="38" max="38" width="8.6640625" bestFit="1" customWidth="1"/>
    <col min="39" max="39" width="8" bestFit="1" customWidth="1"/>
    <col min="40" max="40" width="10.5546875" bestFit="1" customWidth="1"/>
    <col min="41" max="41" width="8.6640625" bestFit="1" customWidth="1"/>
    <col min="42" max="42" width="7.5546875" bestFit="1" customWidth="1"/>
    <col min="43" max="43" width="10.77734375" bestFit="1" customWidth="1"/>
    <col min="44" max="44" width="10" bestFit="1" customWidth="1"/>
    <col min="45" max="45" width="8.6640625" bestFit="1" customWidth="1"/>
    <col min="46" max="46" width="7.5546875" bestFit="1" customWidth="1"/>
    <col min="47" max="47" width="9.6640625" bestFit="1" customWidth="1"/>
    <col min="48" max="48" width="11" bestFit="1" customWidth="1"/>
  </cols>
  <sheetData>
    <row r="3" spans="1:3" x14ac:dyDescent="0.3">
      <c r="A3" s="20" t="s">
        <v>517</v>
      </c>
    </row>
    <row r="4" spans="1:3" x14ac:dyDescent="0.3">
      <c r="B4" t="s">
        <v>431</v>
      </c>
      <c r="C4" t="s">
        <v>513</v>
      </c>
    </row>
    <row r="5" spans="1:3" x14ac:dyDescent="0.3">
      <c r="A5" s="21" t="s">
        <v>520</v>
      </c>
      <c r="B5" s="28">
        <v>57000</v>
      </c>
      <c r="C5" s="28">
        <v>57000</v>
      </c>
    </row>
    <row r="6" spans="1:3" x14ac:dyDescent="0.3">
      <c r="A6" s="21" t="s">
        <v>521</v>
      </c>
      <c r="B6" s="28">
        <v>80750</v>
      </c>
      <c r="C6" s="28">
        <v>80750</v>
      </c>
    </row>
    <row r="7" spans="1:3" x14ac:dyDescent="0.3">
      <c r="A7" s="21" t="s">
        <v>518</v>
      </c>
      <c r="B7" s="28">
        <v>8550</v>
      </c>
      <c r="C7" s="28">
        <v>8550</v>
      </c>
    </row>
    <row r="8" spans="1:3" x14ac:dyDescent="0.3">
      <c r="A8" s="21" t="s">
        <v>522</v>
      </c>
      <c r="B8" s="28">
        <v>124450</v>
      </c>
      <c r="C8" s="28">
        <v>124450</v>
      </c>
    </row>
    <row r="9" spans="1:3" x14ac:dyDescent="0.3">
      <c r="A9" s="21" t="s">
        <v>519</v>
      </c>
      <c r="B9" s="28">
        <v>19000</v>
      </c>
      <c r="C9" s="28">
        <v>19000</v>
      </c>
    </row>
    <row r="10" spans="1:3" x14ac:dyDescent="0.3">
      <c r="A10" s="21" t="s">
        <v>513</v>
      </c>
      <c r="B10" s="28">
        <v>289750</v>
      </c>
      <c r="C10" s="28">
        <v>289750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B3F61-5D7F-4212-B74A-F67B0A94034F}">
  <sheetPr>
    <tabColor rgb="FFFF0000"/>
  </sheetPr>
  <dimension ref="A1"/>
  <sheetViews>
    <sheetView topLeftCell="A3" zoomScale="85" zoomScaleNormal="85" workbookViewId="0">
      <selection sqref="A1:XFD1048576"/>
    </sheetView>
  </sheetViews>
  <sheetFormatPr defaultRowHeight="14.4" x14ac:dyDescent="0.3"/>
  <cols>
    <col min="1" max="16384" width="8.88671875" style="27"/>
  </cols>
  <sheetData/>
  <mergeCells count="1">
    <mergeCell ref="A1:XFD104857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Instructions</vt:lpstr>
      <vt:lpstr>Orders</vt:lpstr>
      <vt:lpstr>Products</vt:lpstr>
      <vt:lpstr>Customers</vt:lpstr>
      <vt:lpstr>Commission</vt:lpstr>
      <vt:lpstr>Summary</vt:lpstr>
      <vt:lpstr>Column Chart</vt:lpstr>
      <vt:lpstr>Top 5 Sales</vt:lpstr>
      <vt:lpstr>Line Chart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Abdul Basha Pinjari</cp:lastModifiedBy>
  <dcterms:created xsi:type="dcterms:W3CDTF">2026-10-09T07:34:56Z</dcterms:created>
  <dcterms:modified xsi:type="dcterms:W3CDTF">2026-10-13T06:57:19Z</dcterms:modified>
</cp:coreProperties>
</file>